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AC Heavyweight" sheetId="1" r:id="rId5"/>
    <sheet state="visible" name="Main" sheetId="2" r:id="rId6"/>
    <sheet state="visible" name="Heal Calc" sheetId="3" r:id="rId7"/>
    <sheet state="visible" name="Skills" sheetId="4" r:id="rId8"/>
    <sheet state="visible" name="Settings" sheetId="5" r:id="rId9"/>
  </sheets>
  <definedNames/>
  <calcPr/>
</workbook>
</file>

<file path=xl/sharedStrings.xml><?xml version="1.0" encoding="utf-8"?>
<sst xmlns="http://schemas.openxmlformats.org/spreadsheetml/2006/main" count="1935" uniqueCount="1243">
  <si>
    <t>MT Team</t>
  </si>
  <si>
    <t>ST Team</t>
  </si>
  <si>
    <t>時間</t>
  </si>
  <si>
    <t>タイプ</t>
  </si>
  <si>
    <t>アクション名</t>
  </si>
  <si>
    <t>ターゲット</t>
  </si>
  <si>
    <t>MT</t>
  </si>
  <si>
    <t>H1</t>
  </si>
  <si>
    <t>D1</t>
  </si>
  <si>
    <t>D3</t>
  </si>
  <si>
    <t>ST</t>
  </si>
  <si>
    <t>H2</t>
  </si>
  <si>
    <t>D2</t>
  </si>
  <si>
    <t>D4</t>
  </si>
  <si>
    <t>00:10.208</t>
  </si>
  <si>
    <t>詠唱開始</t>
  </si>
  <si>
    <t>アルカディアン・フレイム 4.70秒</t>
  </si>
  <si>
    <t>全体</t>
  </si>
  <si>
    <t>00:15.196</t>
  </si>
  <si>
    <t>着弾</t>
  </si>
  <si>
    <t>00:22.452</t>
  </si>
  <si>
    <t>unknown_b4d9</t>
  </si>
  <si>
    <t>00:24.768</t>
  </si>
  <si>
    <t>レプリケーション 2.70秒</t>
  </si>
  <si>
    <t>00:27.755</t>
  </si>
  <si>
    <t>00:40.137</t>
  </si>
  <si>
    <t>スネークキック 4.70秒</t>
  </si>
  <si>
    <t>00:45.127</t>
  </si>
  <si>
    <t>01:04.312</t>
  </si>
  <si>
    <t>ダブルソバット 4.70秒</t>
  </si>
  <si>
    <t>01:09.295</t>
  </si>
  <si>
    <t>01:09.872</t>
  </si>
  <si>
    <t>ダブルソバット</t>
  </si>
  <si>
    <t>Niique Lucky</t>
  </si>
  <si>
    <t>01:28.152</t>
  </si>
  <si>
    <t>模倣細胞 2.70秒</t>
  </si>
  <si>
    <t>01:31.135</t>
  </si>
  <si>
    <t>01:42.306</t>
  </si>
  <si>
    <t>01:45.289</t>
  </si>
  <si>
    <t>02:01.864</t>
  </si>
  <si>
    <t>ファイアフォール・スプラッシュ 5.40秒</t>
  </si>
  <si>
    <t>02:07.524</t>
  </si>
  <si>
    <t>02:07.747</t>
  </si>
  <si>
    <t>ファイアフォール・スプラッシュ</t>
  </si>
  <si>
    <t>02:08.550</t>
  </si>
  <si>
    <t>マナバースト</t>
  </si>
  <si>
    <t>02:15.852</t>
  </si>
  <si>
    <t>02:20.847</t>
  </si>
  <si>
    <t>02:28.066</t>
  </si>
  <si>
    <t>リエナクトメント 2.70秒</t>
  </si>
  <si>
    <t>02:31.050</t>
  </si>
  <si>
    <t>02:34.213</t>
  </si>
  <si>
    <t>ネザーレイジ・ニア 4.70秒</t>
  </si>
  <si>
    <t>02:39.206</t>
  </si>
  <si>
    <t>02:58.408</t>
  </si>
  <si>
    <t>03:00.598</t>
  </si>
  <si>
    <t>変異細胞 2.70秒</t>
  </si>
  <si>
    <t>03:03.583</t>
  </si>
  <si>
    <t>03:06.789</t>
  </si>
  <si>
    <t>マナスフィア 2.70秒</t>
  </si>
  <si>
    <t>03:09.774</t>
  </si>
  <si>
    <t>03:34.045</t>
  </si>
  <si>
    <t>マナスフィア・アウェイク 2.70秒</t>
  </si>
  <si>
    <t>03:37.027</t>
  </si>
  <si>
    <t>03:43.215</t>
  </si>
  <si>
    <t>ネザーワールド・ファー 4.70秒</t>
  </si>
  <si>
    <t>03:48.203</t>
  </si>
  <si>
    <t>03:51.368</t>
  </si>
  <si>
    <t>03:56.356</t>
  </si>
  <si>
    <t>04:00.579</t>
  </si>
  <si>
    <t>04:05.563</t>
  </si>
  <si>
    <t>04:06.143</t>
  </si>
  <si>
    <t>Ray Greed</t>
  </si>
  <si>
    <t>04:21.298</t>
  </si>
  <si>
    <t>04:24.426</t>
  </si>
  <si>
    <t>アルカディアン・ドリーム 4.70秒</t>
  </si>
  <si>
    <t>04:29.423</t>
  </si>
  <si>
    <t>04:32.633</t>
  </si>
  <si>
    <t>04:35.616</t>
  </si>
  <si>
    <t>04:46.753</t>
  </si>
  <si>
    <t>心象投影 3.70秒</t>
  </si>
  <si>
    <t>04:50.711</t>
  </si>
  <si>
    <t>04:53.867</t>
  </si>
  <si>
    <t>04:56.856</t>
  </si>
  <si>
    <t>05:05.322</t>
  </si>
  <si>
    <t>05:09.290</t>
  </si>
  <si>
    <t>05:12.456</t>
  </si>
  <si>
    <t>05:15.449</t>
  </si>
  <si>
    <t>05:31.005</t>
  </si>
  <si>
    <t>05:34.966</t>
  </si>
  <si>
    <t>05:38.483</t>
  </si>
  <si>
    <t>リンドブルム・メテオ 4.70秒</t>
  </si>
  <si>
    <t>05:43.471</t>
  </si>
  <si>
    <t>05:46.633</t>
  </si>
  <si>
    <t>ダウンフォール 2.70秒</t>
  </si>
  <si>
    <t>05:49.616</t>
  </si>
  <si>
    <t>05:52.776</t>
  </si>
  <si>
    <t>アルカディアン・アルケイナム 2.70秒</t>
  </si>
  <si>
    <t>05:55.761</t>
  </si>
  <si>
    <t>05:59.856</t>
  </si>
  <si>
    <t>06:03.822</t>
  </si>
  <si>
    <t>06:30.390</t>
  </si>
  <si>
    <t>06:34.355</t>
  </si>
  <si>
    <t>06:54.842</t>
  </si>
  <si>
    <t>空間裂断 2.70秒</t>
  </si>
  <si>
    <t>06:57.826</t>
  </si>
  <si>
    <t>07:06.429</t>
  </si>
  <si>
    <t>07:10.398</t>
  </si>
  <si>
    <t>07:13.564</t>
  </si>
  <si>
    <t>07:16.549</t>
  </si>
  <si>
    <t>07:21.719</t>
  </si>
  <si>
    <t>07:25.687</t>
  </si>
  <si>
    <t>07:29.252</t>
  </si>
  <si>
    <t>07:33.218</t>
  </si>
  <si>
    <t>07:46.776</t>
  </si>
  <si>
    <t>07:51.761</t>
  </si>
  <si>
    <t>07:54.913</t>
  </si>
  <si>
    <t>07:59.899</t>
  </si>
  <si>
    <t>08:00.478</t>
  </si>
  <si>
    <t>08:16.179</t>
  </si>
  <si>
    <t>レプリケーション 4.70秒</t>
  </si>
  <si>
    <t>08:21.160</t>
  </si>
  <si>
    <t>08:29.674</t>
  </si>
  <si>
    <t>アルカディアン・ヘル 4.70秒</t>
  </si>
  <si>
    <t>08:34.670</t>
  </si>
  <si>
    <t>08:45.940</t>
  </si>
  <si>
    <t>08:50.934</t>
  </si>
  <si>
    <t>ダメージ合計</t>
  </si>
  <si>
    <t>ダメージ</t>
  </si>
  <si>
    <t>Dot</t>
  </si>
  <si>
    <t>バリア</t>
  </si>
  <si>
    <t>着弾回復</t>
  </si>
  <si>
    <t>継続回復</t>
  </si>
  <si>
    <t>ac1</t>
  </si>
  <si>
    <t>ac2</t>
  </si>
  <si>
    <t>ac3</t>
  </si>
  <si>
    <t>ac4</t>
  </si>
  <si>
    <t>ac5</t>
  </si>
  <si>
    <t>ac6</t>
  </si>
  <si>
    <t>ファイナルオメガ没</t>
  </si>
  <si>
    <t>士気高揚の策</t>
  </si>
  <si>
    <t>メディカラ</t>
  </si>
  <si>
    <t>AA</t>
  </si>
  <si>
    <t>ターゲット可</t>
  </si>
  <si>
    <t>ケアルガ</t>
  </si>
  <si>
    <t>波動砲</t>
  </si>
  <si>
    <t>波動砲(頭割り)</t>
  </si>
  <si>
    <t>速射式波動砲</t>
  </si>
  <si>
    <t>イベント</t>
  </si>
  <si>
    <t>00:03.074</t>
  </si>
  <si>
    <t>リンドブルム prepares  攻撃  on Niique Lucky</t>
  </si>
  <si>
    <t>00:03.832</t>
  </si>
  <si>
    <t>リンドブルム 攻撃 Niique Lucky (A: 56,001)</t>
  </si>
  <si>
    <t>00:06.102</t>
  </si>
  <si>
    <t>00:06.860</t>
  </si>
  <si>
    <t>リンドブルム 攻撃 Niique Lucky (A: 50,557)</t>
  </si>
  <si>
    <t>00:09.138</t>
  </si>
  <si>
    <t>00:09.895</t>
  </si>
  <si>
    <t>リンドブルム 攻撃 Niique Lucky (A: 45,112)</t>
  </si>
  <si>
    <t>リンドブルム prepares  アルカディアン・フレイム  on Niique Lucky 31,319</t>
  </si>
  <si>
    <t>リンドブルム prepares  アルカディアン・フレイム  on Zzz Neterukun 94,459</t>
  </si>
  <si>
    <t>リンドブルム prepares  アルカディアン・フレイム  on Ray Greed 26,236</t>
  </si>
  <si>
    <t>リンドブルム prepares  アルカディアン・フレイム  on Noelle Kleinschmidt 78,619</t>
  </si>
  <si>
    <t>リンドブルム prepares  アルカディアン・フレイム  on Rolf Teardrop 89,153</t>
  </si>
  <si>
    <t>リンドブルム prepares  アルカディアン・フレイム  on Masaya Men 70,833</t>
  </si>
  <si>
    <t>リンドブルム prepares  アルカディアン・フレイム  on Nachi Mew 83,686</t>
  </si>
  <si>
    <t>リンドブルム prepares  アルカディアン・フレイム  on Tapex Videocleaner 85,825</t>
  </si>
  <si>
    <t>00:16.840</t>
  </si>
  <si>
    <t>リンドブルム アルカディアン・フレイム Niique Lucky 31,319 (A: 41,971)</t>
  </si>
  <si>
    <t>00:16.887</t>
  </si>
  <si>
    <t>リンドブルム アルカディアン・フレイム Zzz Neterukun 94,459 (A: 78,044)</t>
  </si>
  <si>
    <t>00:16.931</t>
  </si>
  <si>
    <t>リンドブルム アルカディアン・フレイム Ray Greed 26,236 (A: 78,044)</t>
  </si>
  <si>
    <t>00:16.974</t>
  </si>
  <si>
    <t>リンドブルム アルカディアン・フレイム Noelle Kleinschmidt 78,619 (A: 78,044)</t>
  </si>
  <si>
    <t>00:17.020</t>
  </si>
  <si>
    <t>リンドブルム アルカディアン・フレイム Rolf Teardrop 89,153 (A: 78,044)</t>
  </si>
  <si>
    <t>00:17.065</t>
  </si>
  <si>
    <t>リンドブルム アルカディアン・フレイム Masaya Men 70,833 (A: 78,044)</t>
  </si>
  <si>
    <t>00:17.109</t>
  </si>
  <si>
    <t>リンドブルム アルカディアン・フレイム Nachi Mew 83,686 (A: 78,044)</t>
  </si>
  <si>
    <t>00:17.154</t>
  </si>
  <si>
    <t>リンドブルム アルカディアン・フレイム Tapex Videocleaner 85,825 (A: 78,044)</t>
  </si>
  <si>
    <t>00:17.198</t>
  </si>
  <si>
    <t>リンドブルム prepares  攻撃  on Niique Lucky 23,107</t>
  </si>
  <si>
    <t>00:17.956</t>
  </si>
  <si>
    <t>リンドブルム 攻撃 Niique Lucky 23,107</t>
  </si>
  <si>
    <t>00:20.225</t>
  </si>
  <si>
    <t>リンドブルム prepares  攻撃  on Niique Lucky 35,626</t>
  </si>
  <si>
    <t>00:20.982</t>
  </si>
  <si>
    <t>リンドブルム 攻撃 Niique Lucky 35,626</t>
  </si>
  <si>
    <t>00:23.252</t>
  </si>
  <si>
    <t>リンドブルム prepares  攻撃  on Niique Lucky 35,793</t>
  </si>
  <si>
    <t>00:24.012</t>
  </si>
  <si>
    <t>リンドブルム 攻撃 Niique Lucky 35,793</t>
  </si>
  <si>
    <t>00:29.315</t>
  </si>
  <si>
    <t>リンドブルム prepares  攻撃  on Niique Lucky 52,256 (P: 9,222)</t>
  </si>
  <si>
    <t>00:30.071</t>
  </si>
  <si>
    <t>リンドブルム 攻撃 Niique Lucky 52,256 (P: 9,222)</t>
  </si>
  <si>
    <t>00:32.342</t>
  </si>
  <si>
    <t>リンドブルム prepares  攻撃  on Niique Lucky 17,299</t>
  </si>
  <si>
    <t>00:33.099</t>
  </si>
  <si>
    <t>リンドブルム 攻撃 Niique Lucky 17,299 (A: 48,727)</t>
  </si>
  <si>
    <t>00:35.370</t>
  </si>
  <si>
    <t>リンドブルム prepares  攻撃  on Niique Lucky 64,412</t>
  </si>
  <si>
    <t>00:36.127</t>
  </si>
  <si>
    <t>リンドブルム 攻撃 Niique Lucky 64,412</t>
  </si>
  <si>
    <t>00:38.400</t>
  </si>
  <si>
    <t>リンドブルム prepares  攻撃  on Niique Lucky 65,647</t>
  </si>
  <si>
    <t>00:39.157</t>
  </si>
  <si>
    <t>リンドブルム 攻撃 Niique Lucky 65,647</t>
  </si>
  <si>
    <t>00:39.426</t>
  </si>
  <si>
    <t>人型分体 3 prepares  トップティアスラム  on Tapex Videocleaner 126,762</t>
  </si>
  <si>
    <t>人型分体 3 prepares  トップティアスラム  on Nachi Mew 108,045</t>
  </si>
  <si>
    <t>00:40.092</t>
  </si>
  <si>
    <t>人型分体 3 トップティアスラム Tapex Videocleaner 126,762 (A: 30,842)</t>
  </si>
  <si>
    <t>人型分体 3 トップティアスラム Nachi Mew 108,045 (A: 47,816)</t>
  </si>
  <si>
    <t>00:40.449</t>
  </si>
  <si>
    <t>リンドブルム 5 prepares  マイティマジック  on Rolf Teardrop 126,390</t>
  </si>
  <si>
    <t>リンドブルム 5 prepares  マイティマジック  on Niique Lucky 82,046</t>
  </si>
  <si>
    <t>リンドブルム 6 prepares  マイティマジック  on Noelle Kleinschmidt 123,062</t>
  </si>
  <si>
    <t>リンドブルム 6 prepares  マイティマジック  on Masaya Men 125,568</t>
  </si>
  <si>
    <t>00:40.939</t>
  </si>
  <si>
    <t>リンドブルム 5 マイティマジック Rolf Teardrop 126,390 (A: 30,712)</t>
  </si>
  <si>
    <t>リンドブルム 6 マイティマジック Noelle Kleinschmidt 123,062 (A: 29,740)</t>
  </si>
  <si>
    <t>00:40.983</t>
  </si>
  <si>
    <t>リンドブルム 5 マイティマジック Niique Lucky 82,046 (A: 12,919)</t>
  </si>
  <si>
    <t>リンドブルム 6 マイティマジック Masaya Men 125,568 (A: 30,870)</t>
  </si>
  <si>
    <t>00:46.461</t>
  </si>
  <si>
    <t>リンドブルム prepares  攻撃  on Niique Lucky 35,975</t>
  </si>
  <si>
    <t>00:47.219</t>
  </si>
  <si>
    <t>リンドブルム 攻撃 Niique Lucky 35,975 (A: 28,155)</t>
  </si>
  <si>
    <t>00:49.492</t>
  </si>
  <si>
    <t>リンドブルム prepares  攻撃  on Niique Lucky 16,688</t>
  </si>
  <si>
    <t>00:50.250</t>
  </si>
  <si>
    <t>リンドブルム 攻撃 Niique Lucky 16,688 (A: 11,700)</t>
  </si>
  <si>
    <t>00:52.518</t>
  </si>
  <si>
    <t>リンドブルム prepares  攻撃  on Niique Lucky 11,857</t>
  </si>
  <si>
    <t>00:53.274</t>
  </si>
  <si>
    <t>リンドブルム 攻撃 Niique Lucky 11,857 (A: 17,129)</t>
  </si>
  <si>
    <t>00:55.542</t>
  </si>
  <si>
    <t>リンドブルム prepares  攻撃  on Niique Lucky 35,857</t>
  </si>
  <si>
    <t>00:56.299</t>
  </si>
  <si>
    <t>リンドブルム 攻撃 Niique Lucky 35,857</t>
  </si>
  <si>
    <t>00:58.571</t>
  </si>
  <si>
    <t>リンドブルム prepares  攻撃  on Niique Lucky 30,924</t>
  </si>
  <si>
    <t>00:59.327</t>
  </si>
  <si>
    <t>リンドブルム 攻撃 Niique Lucky 30,924 (A: 12,344)</t>
  </si>
  <si>
    <t>01:00.887</t>
  </si>
  <si>
    <t>人型分体 5 prepares  トップティアスラム  on Masaya Men 157,073</t>
  </si>
  <si>
    <t>人型分体 5 prepares  トップティアスラム  on Noelle Kleinschmidt 155,445</t>
  </si>
  <si>
    <t>人型分体 6 prepares  トップティアスラム  on Rolf Teardrop 172,030</t>
  </si>
  <si>
    <t>人型分体 6 prepares  トップティアスラム  on Niique Lucky 69,967</t>
  </si>
  <si>
    <t>01:01.509</t>
  </si>
  <si>
    <t>人型分体 5 トップティアスラム Masaya Men 157,073 (A: 17,893)</t>
  </si>
  <si>
    <t>人型分体 6 トップティアスラム Rolf Teardrop 172,030 (A: 17,709)</t>
  </si>
  <si>
    <t>01:01.554</t>
  </si>
  <si>
    <t>人型分体 5 トップティアスラム Noelle Kleinschmidt 155,445 (A: 19,721)</t>
  </si>
  <si>
    <t>人型分体 6 トップティアスラム Niique Lucky 69,967</t>
  </si>
  <si>
    <t>01:01.598</t>
  </si>
  <si>
    <t>リンドブルム prepares  攻撃  on Niique Lucky 46,592</t>
  </si>
  <si>
    <t>01:01.909</t>
  </si>
  <si>
    <t>リンドブルム 9 prepares  マイティマジック  on Zzz Neterukun 192,226</t>
  </si>
  <si>
    <t>リンドブルム 10 prepares  マイティマジック  on Nachi Mew 163,619</t>
  </si>
  <si>
    <t>リンドブルム 11 prepares  マイティマジック  on Ray Greed 74,351</t>
  </si>
  <si>
    <t>リンドブルム 12 prepares  マイティマジック  on Tapex Videocleaner 179,562</t>
  </si>
  <si>
    <t>01:02.398</t>
  </si>
  <si>
    <t>リンドブルム 攻撃 Niique Lucky 46,592</t>
  </si>
  <si>
    <t>リンドブルム 9 マイティマジック Zzz Neterukun 192,226 (A: 17,584)</t>
  </si>
  <si>
    <t>リンドブルム 10 マイティマジック Nachi Mew 163,619 (A: 27,588)</t>
  </si>
  <si>
    <t>リンドブルム 11 マイティマジック Ray Greed 74,351 (A: 46,861)</t>
  </si>
  <si>
    <t>リンドブルム 12 マイティマジック Tapex Videocleaner 179,562 (A: 17,722)</t>
  </si>
  <si>
    <t>リンドブルム prepares  ダブルソバット  on Niique Lucky 1,444,896</t>
  </si>
  <si>
    <t>01:11.030</t>
  </si>
  <si>
    <t>リンドブルム ダブルソバット Niique Lucky 290,001 (A: 1,154,894)</t>
  </si>
  <si>
    <t>01:16.916</t>
  </si>
  <si>
    <t>リンドブルム 3 prepares  マナコンビネーション  on Niique Lucky 463,827</t>
  </si>
  <si>
    <t>リンドブルム 4 prepares  マナコンビネーション  on Ray Greed 196,746</t>
  </si>
  <si>
    <t>01:17.542</t>
  </si>
  <si>
    <t>リンドブルム 3 マナコンビネーション Niique Lucky 263,272 (A: 200,554)</t>
  </si>
  <si>
    <t>リンドブルム 4 マナコンビネーション Ray Greed 196,746 (A: 11,729)</t>
  </si>
  <si>
    <t>01:19.902</t>
  </si>
  <si>
    <t>01:20.658</t>
  </si>
  <si>
    <t>リンドブルム 攻撃 Niique Lucky (A: 70,002)</t>
  </si>
  <si>
    <t>01:22.934</t>
  </si>
  <si>
    <t>01:23.733</t>
  </si>
  <si>
    <t>01:25.963</t>
  </si>
  <si>
    <t>01:26.723</t>
  </si>
  <si>
    <t>01:32.024</t>
  </si>
  <si>
    <t>リンドブルム prepares  攻撃  on Niique Lucky 54,550</t>
  </si>
  <si>
    <t>01:32.782</t>
  </si>
  <si>
    <t>リンドブルム 攻撃 Niique Lucky 54,550 (A: 12,066)</t>
  </si>
  <si>
    <t>01:35.051</t>
  </si>
  <si>
    <t>リンドブルム prepares  攻撃  on Niique Lucky 70,444</t>
  </si>
  <si>
    <t>01:35.810</t>
  </si>
  <si>
    <t>リンドブルム 攻撃 Niique Lucky 70,444</t>
  </si>
  <si>
    <t>01:38.077</t>
  </si>
  <si>
    <t>01:38.836</t>
  </si>
  <si>
    <t>01:41.108</t>
  </si>
  <si>
    <t>リンドブルム prepares  攻撃  on Niique Lucky 60,666 (P: 10,706)</t>
  </si>
  <si>
    <t>01:41.906</t>
  </si>
  <si>
    <t>リンドブルム 攻撃 Niique Lucky 60,666 (A: 2,498) (P: 11,147)</t>
  </si>
  <si>
    <t>01:47.159</t>
  </si>
  <si>
    <t>リンドブルム prepares  攻撃  on Niique Lucky 46,415</t>
  </si>
  <si>
    <t>01:47.918</t>
  </si>
  <si>
    <t>リンドブルム 攻撃 Niique Lucky 46,415 (A: 34,139)</t>
  </si>
  <si>
    <t>01:50.191</t>
  </si>
  <si>
    <t>01:50.949</t>
  </si>
  <si>
    <t>リンドブルム 攻撃 Niique Lucky (A: 77,779)</t>
  </si>
  <si>
    <t>01:53.224</t>
  </si>
  <si>
    <t>リンドブルム prepares  攻撃  on Niique Lucky 12,635</t>
  </si>
  <si>
    <t>01:53.983</t>
  </si>
  <si>
    <t>リンドブルム 攻撃 Niique Lucky 12,635 (A: 63,685)</t>
  </si>
  <si>
    <t>01:56.254</t>
  </si>
  <si>
    <t>リンドブルム prepares  攻撃  on Niique Lucky 77,026</t>
  </si>
  <si>
    <t>01:57.055</t>
  </si>
  <si>
    <t>リンドブルム 攻撃 Niique Lucky 77,026</t>
  </si>
  <si>
    <t>01:59.280</t>
  </si>
  <si>
    <t>リンドブルム prepares  攻撃  on Niique Lucky 79,996</t>
  </si>
  <si>
    <t>02:00.037</t>
  </si>
  <si>
    <t>リンドブルム 攻撃 Niique Lucky 79,996</t>
  </si>
  <si>
    <t>リンドブルム prepares  ファイアフォール・スプラッシュ  on Noelle Kleinschmidt 43,154</t>
  </si>
  <si>
    <t>02:08.015</t>
  </si>
  <si>
    <t>リンドブルム prepares  攻撃  on Niique Lucky 50,748</t>
  </si>
  <si>
    <t>02:08.371</t>
  </si>
  <si>
    <t>リンドブルム ファイアフォール・スプラッシュ Noelle Kleinschmidt 43,154 (A: 70,732)</t>
  </si>
  <si>
    <t>リンドブルム 1 prepares  炎波  on Zzz Neterukun 50,803</t>
  </si>
  <si>
    <t>リンドブルム 2 prepares  炎波  on Niique Lucky 55,430</t>
  </si>
  <si>
    <t>02:08.372</t>
  </si>
  <si>
    <t>リンドブルム 3 prepares  炎波  on Tapex Videocleaner 51,277</t>
  </si>
  <si>
    <t>リンドブルム 4 prepares  炎波  on Nachi Mew 37,995</t>
  </si>
  <si>
    <t>02:08.772</t>
  </si>
  <si>
    <t>リンドブルム 攻撃 Niique Lucky 50,748</t>
  </si>
  <si>
    <t>02:08.862</t>
  </si>
  <si>
    <t>リンドブルム 1 炎波 Zzz Neterukun 50,803 (A: 70,732)</t>
  </si>
  <si>
    <t>リンドブルム 2 炎波 Niique Lucky 55,430</t>
  </si>
  <si>
    <t>リンドブルム 3 炎波 Tapex Videocleaner 51,277 (A: 70,732)</t>
  </si>
  <si>
    <t>リンドブルム 4 炎波 Nachi Mew 37,995 (A: 70,732)</t>
  </si>
  <si>
    <t>02:09.842</t>
  </si>
  <si>
    <t>リンドブルム 2 prepares  マナバースト  on Rolf Teardrop 52,657</t>
  </si>
  <si>
    <t>リンドブルム 3 prepares  マナバースト  on Ray Greed</t>
  </si>
  <si>
    <t>リンドブルム 4 prepares  マナバースト  on Masaya Men 58,682</t>
  </si>
  <si>
    <t>02:10.331</t>
  </si>
  <si>
    <t>リンドブルム 2 マナバースト Rolf Teardrop 52,657 (A: 70,732)</t>
  </si>
  <si>
    <t>リンドブルム 3 マナバースト Ray Greed (A: 11,571)</t>
  </si>
  <si>
    <t>リンドブルム 4 マナバースト Masaya Men 58,682 (A: 70,732)</t>
  </si>
  <si>
    <t>02:11.045</t>
  </si>
  <si>
    <t>リンドブルム prepares  攻撃  on Niique Lucky 52,550</t>
  </si>
  <si>
    <t>02:11.801</t>
  </si>
  <si>
    <t>リンドブルム 攻撃 Niique Lucky 52,550</t>
  </si>
  <si>
    <t>02:14.073</t>
  </si>
  <si>
    <t>リンドブルム prepares  攻撃  on Niique Lucky 46,358</t>
  </si>
  <si>
    <t>02:14.873</t>
  </si>
  <si>
    <t>リンドブルム 攻撃 Niique Lucky 46,358</t>
  </si>
  <si>
    <t>02:15.364</t>
  </si>
  <si>
    <t>人型分体 8 prepares  ヘビースラム  on Nachi Mew 108,461</t>
  </si>
  <si>
    <t>人型分体 8 prepares  ヘビースラム  on Rolf Teardrop 121,612</t>
  </si>
  <si>
    <t>人型分体 8 prepares  ヘビースラム  on Zzz Neterukun 117,224</t>
  </si>
  <si>
    <t>人型分体 8 prepares  ヘビースラム  on Ray Greed 70,237</t>
  </si>
  <si>
    <t>人型分体 2 prepares  ヘビースラム  on Tapex Videocleaner 125,354</t>
  </si>
  <si>
    <t>人型分体 2 prepares  ヘビースラム  on Masaya Men 108,900</t>
  </si>
  <si>
    <t>人型分体 2 prepares  ヘビースラム  on Niique Lucky 58,422</t>
  </si>
  <si>
    <t>人型分体 2 prepares  ヘビースラム  on Noelle Kleinschmidt 108,494</t>
  </si>
  <si>
    <t>02:15.985</t>
  </si>
  <si>
    <t>人型分体 8 ヘビースラム Nachi Mew 108,461</t>
  </si>
  <si>
    <t>人型分体 2 ヘビースラム Tapex Videocleaner 125,354</t>
  </si>
  <si>
    <t>02:16.031</t>
  </si>
  <si>
    <t>人型分体 8 ヘビースラム Rolf Teardrop 121,612</t>
  </si>
  <si>
    <t>人型分体 2 ヘビースラム Masaya Men 108,900</t>
  </si>
  <si>
    <t>02:16.075</t>
  </si>
  <si>
    <t>人型分体 8 ヘビースラム Zzz Neterukun 117,224</t>
  </si>
  <si>
    <t>人型分体 2 ヘビースラム Niique Lucky 58,422</t>
  </si>
  <si>
    <t>02:16.120</t>
  </si>
  <si>
    <t>人型分体 8 ヘビースラム Ray Greed 70,237 (A: 70,732)</t>
  </si>
  <si>
    <t>人型分体 2 ヘビースラム Noelle Kleinschmidt 108,494</t>
  </si>
  <si>
    <t>02:22.138</t>
  </si>
  <si>
    <t>リンドブルム prepares  攻撃  on Niique Lucky 55,988</t>
  </si>
  <si>
    <t>02:22.894</t>
  </si>
  <si>
    <t>リンドブルム 攻撃 Niique Lucky 55,988</t>
  </si>
  <si>
    <t>02:25.170</t>
  </si>
  <si>
    <t>リンドブルム prepares  攻撃  on Niique Lucky 67,960</t>
  </si>
  <si>
    <t>02:25.925</t>
  </si>
  <si>
    <t>リンドブルム 攻撃 Niique Lucky 67,960</t>
  </si>
  <si>
    <t>02:40.499</t>
  </si>
  <si>
    <t>リンドブルム 1 prepares  ネザーレイジ・ウェーブ  on Tapex Videocleaner 68,462</t>
  </si>
  <si>
    <t>リンドブルム 1 prepares  ネザーレイジ・ウェーブ  on Niique Lucky 36,498</t>
  </si>
  <si>
    <t>リンドブルム 2 prepares  ネザーレイジ・ウェーブ  on Nachi Mew 76,883</t>
  </si>
  <si>
    <t>リンドブルム 2 prepares  ネザーレイジ・ウェーブ  on Zzz Neterukun 81,734</t>
  </si>
  <si>
    <t>02:41.121</t>
  </si>
  <si>
    <t>リンドブルム 1 ネザーレイジ・ウェーブ Tapex Videocleaner 68,462 (A: 49,005)</t>
  </si>
  <si>
    <t>リンドブルム 2 ネザーレイジ・ウェーブ Nachi Mew 76,883 (A: 30,667)</t>
  </si>
  <si>
    <t>02:41.166</t>
  </si>
  <si>
    <t>リンドブルム 1 ネザーレイジ・ウェーブ Niique Lucky 36,498 (A: 30,672)</t>
  </si>
  <si>
    <t>リンドブルム 2 ネザーレイジ・ウェーブ Zzz Neterukun 81,734 (A: 30,961)</t>
  </si>
  <si>
    <t>02:42.278</t>
  </si>
  <si>
    <t>リンドブルム prepares  攻撃  on Niique Lucky 46,561</t>
  </si>
  <si>
    <t>02:43.036</t>
  </si>
  <si>
    <t>リンドブルム 攻撃 Niique Lucky 46,561</t>
  </si>
  <si>
    <t>02:44.685</t>
  </si>
  <si>
    <t>リンドブルム 4 prepares  ヘビースラム  on Masaya Men 69,335</t>
  </si>
  <si>
    <t>リンドブルム 4 prepares  ヘビースラム  on Rolf Teardrop 75,829</t>
  </si>
  <si>
    <t>リンドブルム 4 prepares  ヘビースラム  on Ray Greed 34,175</t>
  </si>
  <si>
    <t>リンドブルム 4 prepares  ヘビースラム  on Noelle Kleinschmidt 46,833</t>
  </si>
  <si>
    <t>02:44.863</t>
  </si>
  <si>
    <t>リンドブルム 4 ヘビースラム Masaya Men 69,335 (A: 29,978)</t>
  </si>
  <si>
    <t>02:44.908</t>
  </si>
  <si>
    <t>リンドブルム 4 ヘビースラム Rolf Teardrop 75,829 (A: 30,526)</t>
  </si>
  <si>
    <t>02:44.952</t>
  </si>
  <si>
    <t>リンドブルム 4 ヘビースラム Ray Greed 34,175 (A: 30,107)</t>
  </si>
  <si>
    <t>02:44.997</t>
  </si>
  <si>
    <t>リンドブルム 4 ヘビースラム Noelle Kleinschmidt 46,833 (A: 49,310)</t>
  </si>
  <si>
    <t>02:45.309</t>
  </si>
  <si>
    <t>リンドブルム prepares  攻撃  on Niique Lucky 46,012</t>
  </si>
  <si>
    <t>02:46.067</t>
  </si>
  <si>
    <t>リンドブルム 攻撃 Niique Lucky 46,012</t>
  </si>
  <si>
    <t>02:48.338</t>
  </si>
  <si>
    <t>リンドブルム prepares  攻撃  on Niique Lucky 14,808</t>
  </si>
  <si>
    <t>02:48.695</t>
  </si>
  <si>
    <t>リンドブルム 6 prepares  炎波  on Zzz Neterukun 81,336</t>
  </si>
  <si>
    <t>リンドブルム 1 prepares  炎波  on Tapex Videocleaner 84,256</t>
  </si>
  <si>
    <t>リンドブルム 2 prepares  炎波  on Nachi Mew 45,843</t>
  </si>
  <si>
    <t>02:48.696</t>
  </si>
  <si>
    <t>リンドブルム 4 prepares  炎波  on Niique Lucky 63,229</t>
  </si>
  <si>
    <t>02:49.096</t>
  </si>
  <si>
    <t>リンドブルム 攻撃 Niique Lucky 14,808 (A: 33,404)</t>
  </si>
  <si>
    <t>02:49.184</t>
  </si>
  <si>
    <t>リンドブルム 6 炎波 Zzz Neterukun 81,336 (A: 33,415)</t>
  </si>
  <si>
    <t>リンドブルム 1 炎波 Tapex Videocleaner 84,256 (A: 33,001)</t>
  </si>
  <si>
    <t>リンドブルム 2 炎波 Nachi Mew 45,843 (A: 51,931)</t>
  </si>
  <si>
    <t>リンドブルム 4 炎波 Niique Lucky 63,229</t>
  </si>
  <si>
    <t>02:51.364</t>
  </si>
  <si>
    <t>リンドブルム prepares  攻撃  on Niique Lucky 52,390</t>
  </si>
  <si>
    <t>02:52.123</t>
  </si>
  <si>
    <t>リンドブルム 攻撃 Niique Lucky 52,390</t>
  </si>
  <si>
    <t>02:52.703</t>
  </si>
  <si>
    <t>リンドブルム 4 prepares  ヘビースラム  on Noelle Kleinschmidt 83,230</t>
  </si>
  <si>
    <t>リンドブルム 4 prepares  ヘビースラム  on Masaya Men 78,173</t>
  </si>
  <si>
    <t>リンドブルム 4 prepares  ヘビースラム  on Rolf Teardrop 88,144</t>
  </si>
  <si>
    <t>リンドブルム 4 prepares  ヘビースラム  on Ray Greed 29,538</t>
  </si>
  <si>
    <t>02:52.880</t>
  </si>
  <si>
    <t>リンドブルム 4 ヘビースラム Noelle Kleinschmidt 83,230 (A: 33,735)</t>
  </si>
  <si>
    <t>02:52.924</t>
  </si>
  <si>
    <t>リンドブルム 4 ヘビースラム Masaya Men 78,173 (A: 33,980)</t>
  </si>
  <si>
    <t>02:52.969</t>
  </si>
  <si>
    <t>リンドブルム 4 ヘビースラム Rolf Teardrop 88,144 (A: 32,266)</t>
  </si>
  <si>
    <t>02:53.014</t>
  </si>
  <si>
    <t>リンドブルム 4 ヘビースラム Ray Greed 29,538 (A: 43,576)</t>
  </si>
  <si>
    <t>02:54.395</t>
  </si>
  <si>
    <t>リンドブルム prepares  攻撃  on Niique Lucky 59,117 (P: 10,432)</t>
  </si>
  <si>
    <t>02:55.155</t>
  </si>
  <si>
    <t>リンドブルム 攻撃 Niique Lucky 59,117 (P: 10,432)</t>
  </si>
  <si>
    <t>02:57.427</t>
  </si>
  <si>
    <t>リンドブルム prepares  攻撃  on Niique Lucky 16,094</t>
  </si>
  <si>
    <t>02:58.186</t>
  </si>
  <si>
    <t>リンドブルム 攻撃 Niique Lucky 16,094 (A: 33,399)</t>
  </si>
  <si>
    <t>03:00.463</t>
  </si>
  <si>
    <t>リンドブルム prepares  攻撃  on Niique Lucky 63,377</t>
  </si>
  <si>
    <t>03:01.219</t>
  </si>
  <si>
    <t>リンドブルム 攻撃 Niique Lucky 63,377</t>
  </si>
  <si>
    <t>03:12.846</t>
  </si>
  <si>
    <t>リンドブルム prepares  攻撃  on Ray Greed</t>
  </si>
  <si>
    <t>03:13.605</t>
  </si>
  <si>
    <t>リンドブルム 攻撃 Ray Greed (A: 79,058)</t>
  </si>
  <si>
    <t>03:15.875</t>
  </si>
  <si>
    <t>リンドブルム prepares  攻撃  on Ray Greed 52,679</t>
  </si>
  <si>
    <t>03:16.632</t>
  </si>
  <si>
    <t>リンドブルム 攻撃 Ray Greed 52,679</t>
  </si>
  <si>
    <t>03:18.901</t>
  </si>
  <si>
    <t>03:19.658</t>
  </si>
  <si>
    <t>リンドブルム 攻撃 Ray Greed (A: 63,646)</t>
  </si>
  <si>
    <t>03:20.727</t>
  </si>
  <si>
    <t>リンドブルム 3 prepares  魔力放散  on Ray Greed 165,085</t>
  </si>
  <si>
    <t>03:21.128</t>
  </si>
  <si>
    <t>リンドブルム 4 prepares  魔力放散  on Masaya Men 166,923</t>
  </si>
  <si>
    <t>リンドブルム 4 prepares  魔力放散  on Zzz Neterukun 179,158</t>
  </si>
  <si>
    <t>リンドブルム 4 prepares  魔力放散  on Tapex Videocleaner 179,549</t>
  </si>
  <si>
    <t>03:21.218</t>
  </si>
  <si>
    <t>リンドブルム 3 魔力放散 Ray Greed 165,085 (A: 13,154)</t>
  </si>
  <si>
    <t>03:21.619</t>
  </si>
  <si>
    <t>リンドブルム 4 魔力放散 Masaya Men 166,923 (A: 33,870)</t>
  </si>
  <si>
    <t>03:21.663</t>
  </si>
  <si>
    <t>リンドブルム 4 魔力放散 Zzz Neterukun 179,158 (A: 32,643)</t>
  </si>
  <si>
    <t>03:21.708</t>
  </si>
  <si>
    <t>リンドブルム 4 魔力放散 Tapex Videocleaner 179,549 (A: 33,613)</t>
  </si>
  <si>
    <t>03:22.421</t>
  </si>
  <si>
    <t>リンドブルム 7 prepares  細胞爆発  on Nachi Mew</t>
  </si>
  <si>
    <t>リンドブルム 8 prepares  細胞爆発  on Zzz Neterukun</t>
  </si>
  <si>
    <t>リンドブルム 5 prepares  細胞爆発  on Niique Lucky</t>
  </si>
  <si>
    <t>リンドブルム 6 prepares  細胞爆発  on Rolf Teardrop</t>
  </si>
  <si>
    <t>リンドブルム 1 prepares  細胞爆発  on Noelle Kleinschmidt</t>
  </si>
  <si>
    <t>リンドブルム 2 prepares  細胞爆発  on Ray Greed</t>
  </si>
  <si>
    <t>リンドブルム 3 prepares  細胞爆発  on Masaya Men</t>
  </si>
  <si>
    <t>リンドブルム 4 prepares  細胞爆発  on Tapex Videocleaner</t>
  </si>
  <si>
    <t>03:22.911</t>
  </si>
  <si>
    <t>リンドブルム 6 細胞爆発 Rolf Teardrop</t>
  </si>
  <si>
    <t>03:26.875</t>
  </si>
  <si>
    <t>リンドブルム prepares  攻撃  on Niique Lucky 79,338</t>
  </si>
  <si>
    <t>03:27.635</t>
  </si>
  <si>
    <t>リンドブルム 攻撃 Niique Lucky 79,338</t>
  </si>
  <si>
    <t>03:29.906</t>
  </si>
  <si>
    <t>リンドブルム prepares  攻撃  on Niique Lucky 60,212 (P: 10,626)</t>
  </si>
  <si>
    <t>03:30.664</t>
  </si>
  <si>
    <t>リンドブルム 攻撃 Niique Lucky 60,212 (P: 10,626)</t>
  </si>
  <si>
    <t>03:32.930</t>
  </si>
  <si>
    <t>リンドブルム prepares  攻撃  on Niique Lucky 72,555</t>
  </si>
  <si>
    <t>03:33.688</t>
  </si>
  <si>
    <t>リンドブルム 攻撃 Niique Lucky 72,555</t>
  </si>
  <si>
    <t>03:38.809</t>
  </si>
  <si>
    <t>リンドブルム 4 prepares  ホリゾンタルファイラ  on Niique Lucky 61,375</t>
  </si>
  <si>
    <t>03:38.987</t>
  </si>
  <si>
    <t>リンドブルム prepares  攻撃  on Niique Lucky 80,382</t>
  </si>
  <si>
    <t>03:39.432</t>
  </si>
  <si>
    <t>リンドブルム 4 ホリゾンタルファイラ Niique Lucky 61,375 (A: 65,157)</t>
  </si>
  <si>
    <t>03:39.744</t>
  </si>
  <si>
    <t>リンドブルム 攻撃 Niique Lucky 80,382</t>
  </si>
  <si>
    <t>03:42.014</t>
  </si>
  <si>
    <t>リンドブルム prepares  攻撃  on Niique Lucky 50,765 (P: 8,959)</t>
  </si>
  <si>
    <t>03:42.771</t>
  </si>
  <si>
    <t>リンドブルム 攻撃 Niique Lucky 50,765 (A: 12,186) (P: 11,110)</t>
  </si>
  <si>
    <t>03:49.497</t>
  </si>
  <si>
    <t>リンドブルム 3 prepares  ネザーワールド・ウェーブ  on Noelle Kleinschmidt 116,889</t>
  </si>
  <si>
    <t>リンドブルム 3 prepares  ネザーワールド・ウェーブ  on Niique Lucky 72,946</t>
  </si>
  <si>
    <t>リンドブルム 3 prepares  ネザーワールド・ウェーブ  on Rolf Teardrop 126,972</t>
  </si>
  <si>
    <t>リンドブルム 3 prepares  ネザーワールド・ウェーブ  on Nachi Mew 100,828</t>
  </si>
  <si>
    <t>03:50.075</t>
  </si>
  <si>
    <t>リンドブルム prepares  攻撃  on Niique Lucky 47,486</t>
  </si>
  <si>
    <t>03:50.120</t>
  </si>
  <si>
    <t>リンドブルム 3 ネザーワールド・ウェーブ Noelle Kleinschmidt 116,889 (A: 17,218)</t>
  </si>
  <si>
    <t>03:50.164</t>
  </si>
  <si>
    <t>リンドブルム 3 ネザーワールド・ウェーブ Niique Lucky 72,946 (A: 17,519)</t>
  </si>
  <si>
    <t>03:50.209</t>
  </si>
  <si>
    <t>リンドブルム 3 ネザーワールド・ウェーブ Rolf Teardrop 126,972 (A: 17,536)</t>
  </si>
  <si>
    <t>03:50.254</t>
  </si>
  <si>
    <t>リンドブルム 3 ネザーワールド・ウェーブ Nachi Mew 100,828 (A: 28,466)</t>
  </si>
  <si>
    <t>03:50.834</t>
  </si>
  <si>
    <t>リンドブルム 攻撃 Niique Lucky 47,486</t>
  </si>
  <si>
    <t>03:52.437</t>
  </si>
  <si>
    <t>03:52.926</t>
  </si>
  <si>
    <t>リンドブルム 1 細胞爆発 Noelle Kleinschmidt</t>
  </si>
  <si>
    <t>リンドブルム prepares  アルカディアン・フレイム  on Masaya Men</t>
  </si>
  <si>
    <t>リンドブルム prepares  アルカディアン・フレイム  on Tapex Videocleaner 58,809</t>
  </si>
  <si>
    <t>リンドブルム prepares  アルカディアン・フレイム  on Noelle Kleinschmidt 79,942</t>
  </si>
  <si>
    <t>リンドブルム prepares  アルカディアン・フレイム  on Zzz Neterukun 53,275</t>
  </si>
  <si>
    <t>リンドブルム prepares  アルカディアン・フレイム  on Nachi Mew 79,561</t>
  </si>
  <si>
    <t>リンドブルム prepares  アルカディアン・フレイム  on Niique Lucky 21,725</t>
  </si>
  <si>
    <t>リンドブルム prepares  アルカディアン・フレイム  on Rolf Teardrop 60,251</t>
  </si>
  <si>
    <t>リンドブルム prepares  アルカディアン・フレイム  on Ray Greed</t>
  </si>
  <si>
    <t>03:58.001</t>
  </si>
  <si>
    <t>リンドブルム アルカディアン・フレイム Masaya Men (A: 148,878)</t>
  </si>
  <si>
    <t>03:58.046</t>
  </si>
  <si>
    <t>リンドブルム アルカディアン・フレイム Tapex Videocleaner 58,809 (A: 106,656)</t>
  </si>
  <si>
    <t>03:58.090</t>
  </si>
  <si>
    <t>リンドブルム アルカディアン・フレイム Noelle Kleinschmidt 79,942 (A: 78,679)</t>
  </si>
  <si>
    <t>03:58.135</t>
  </si>
  <si>
    <t>リンドブルム アルカディアン・フレイム Zzz Neterukun 53,275 (A: 107,114)</t>
  </si>
  <si>
    <t>リンドブルム prepares  攻撃  on Ray Greed 29,900</t>
  </si>
  <si>
    <t>03:58.179</t>
  </si>
  <si>
    <t>リンドブルム アルカディアン・フレイム Nachi Mew 79,561 (A: 78,679)</t>
  </si>
  <si>
    <t>03:58.223</t>
  </si>
  <si>
    <t>リンドブルム アルカディアン・フレイム Niique Lucky 21,725 (A: 78,679)</t>
  </si>
  <si>
    <t>03:58.268</t>
  </si>
  <si>
    <t>リンドブルム アルカディアン・フレイム Rolf Teardrop 60,251 (A: 100,193)</t>
  </si>
  <si>
    <t>03:58.312</t>
  </si>
  <si>
    <t>リンドブルム アルカディアン・フレイム Ray Greed (A: 118,296)</t>
  </si>
  <si>
    <t>03:58.934</t>
  </si>
  <si>
    <t>リンドブルム 攻撃 Ray Greed 29,900</t>
  </si>
  <si>
    <t>04:04.318</t>
  </si>
  <si>
    <t>Ray Greed prepares  ボーライド  on Ray Greed 307,201</t>
  </si>
  <si>
    <t>04:04.985</t>
  </si>
  <si>
    <t>Ray Greed ボーライド Ray Greed 307,201</t>
  </si>
  <si>
    <t>リンドブルム ダブルソバット Ray Greed Immune</t>
  </si>
  <si>
    <t>04:13.180</t>
  </si>
  <si>
    <t>リンドブルム 3 マナコンビネーション Ray Greed Immune</t>
  </si>
  <si>
    <t>リンドブルム 4 prepares  マナコンビネーション  on Niique Lucky 68,654</t>
  </si>
  <si>
    <t>04:13.805</t>
  </si>
  <si>
    <t>リンドブルム 4 マナコンビネーション Niique Lucky 68,654 (A: 109,386)</t>
  </si>
  <si>
    <t>04:16.170</t>
  </si>
  <si>
    <t>リンドブルム prepares  攻撃  on Ray Greed 56,820</t>
  </si>
  <si>
    <t>04:16.927</t>
  </si>
  <si>
    <t>リンドブルム 攻撃 Ray Greed 56,820 (A: 18,010)</t>
  </si>
  <si>
    <t>04:19.200</t>
  </si>
  <si>
    <t>リンドブルム prepares  攻撃  on Niique Lucky 25,236 (P: 4,453)</t>
  </si>
  <si>
    <t>04:19.959</t>
  </si>
  <si>
    <t>リンドブルム 攻撃 Niique Lucky 25,236 (P: 4,453)</t>
  </si>
  <si>
    <t>04:22.236</t>
  </si>
  <si>
    <t>リンドブルム prepares  攻撃  on Niique Lucky 55,935</t>
  </si>
  <si>
    <t>04:22.995</t>
  </si>
  <si>
    <t>リンドブルム 攻撃 Niique Lucky 55,935</t>
  </si>
  <si>
    <t>リンドブルム prepares  アルカディアン・ドリーム  on Masaya Men 157,096</t>
  </si>
  <si>
    <t>リンドブルム prepares  アルカディアン・ドリーム  on Niique Lucky 93,892</t>
  </si>
  <si>
    <t>リンドブルム prepares  アルカディアン・ドリーム  on Ray Greed 98,799</t>
  </si>
  <si>
    <t>リンドブルム prepares  アルカディアン・ドリーム  on Noelle Kleinschmidt 157,323</t>
  </si>
  <si>
    <t>リンドブルム prepares  アルカディアン・ドリーム  on Zzz Neterukun 189,286</t>
  </si>
  <si>
    <t>リンドブルム prepares  アルカディアン・ドリーム  on Tapex Videocleaner 168,992</t>
  </si>
  <si>
    <t>リンドブルム prepares  アルカディアン・ドリーム  on Rolf Teardrop 185,324</t>
  </si>
  <si>
    <t>リンドブルム prepares  アルカディアン・ドリーム  on Nachi Mew 163,556</t>
  </si>
  <si>
    <t>04:30.313</t>
  </si>
  <si>
    <t>リンドブルム prepares  攻撃  on Niique Lucky 56,733</t>
  </si>
  <si>
    <t>04:30.716</t>
  </si>
  <si>
    <t>リンドブルム アルカディアン・ドリーム Masaya Men 157,096 (A: 27,657)</t>
  </si>
  <si>
    <t>04:30.761</t>
  </si>
  <si>
    <t>リンドブルム アルカディアン・ドリーム Niique Lucky 93,892 (A: 26,811)</t>
  </si>
  <si>
    <t>04:30.805</t>
  </si>
  <si>
    <t>リンドブルム アルカディアン・ドリーム Ray Greed 98,799 (A: 27,014)</t>
  </si>
  <si>
    <t>04:30.850</t>
  </si>
  <si>
    <t>リンドブルム アルカディアン・ドリーム Noelle Kleinschmidt 157,323 (A: 27,779)</t>
  </si>
  <si>
    <t>04:30.894</t>
  </si>
  <si>
    <t>リンドブルム アルカディアン・ドリーム Zzz Neterukun 189,286 (A: 27,154)</t>
  </si>
  <si>
    <t>04:30.939</t>
  </si>
  <si>
    <t>リンドブルム アルカディアン・ドリーム Tapex Videocleaner 168,992 (A: 43,552)</t>
  </si>
  <si>
    <t>04:30.983</t>
  </si>
  <si>
    <t>リンドブルム アルカディアン・ドリーム Rolf Teardrop 185,324 (A: 27,167)</t>
  </si>
  <si>
    <t>04:31.028</t>
  </si>
  <si>
    <t>リンドブルム アルカディアン・ドリーム Nachi Mew 163,556 (A: 27,199)</t>
  </si>
  <si>
    <t>04:31.072</t>
  </si>
  <si>
    <t>リンドブルム 攻撃 Niique Lucky 56,733</t>
  </si>
  <si>
    <t>04:36.375</t>
  </si>
  <si>
    <t>リンドブルム prepares  攻撃  on Niique Lucky 55,242</t>
  </si>
  <si>
    <t>04:37.133</t>
  </si>
  <si>
    <t>リンドブルム 攻撃 Niique Lucky 55,242</t>
  </si>
  <si>
    <t>04:39.406</t>
  </si>
  <si>
    <t>リンドブルム prepares  攻撃  on Niique Lucky 58,792</t>
  </si>
  <si>
    <t>04:40.163</t>
  </si>
  <si>
    <t>リンドブルム 攻撃 Niique Lucky 58,792</t>
  </si>
  <si>
    <t>04:42.434</t>
  </si>
  <si>
    <t>リンドブルム prepares  攻撃  on Niique Lucky 73,847</t>
  </si>
  <si>
    <t>04:43.191</t>
  </si>
  <si>
    <t>リンドブルム 攻撃 Niique Lucky 73,847</t>
  </si>
  <si>
    <t>04:45.461</t>
  </si>
  <si>
    <t>リンドブルム prepares  攻撃  on  Niique Lucky 66,766 (P: 11,782)</t>
  </si>
  <si>
    <t>04:46.262</t>
  </si>
  <si>
    <t>リンドブルム 攻撃  Niique Lucky 66,766 (P: 11,782)</t>
  </si>
  <si>
    <t>04:52.491</t>
  </si>
  <si>
    <t>リンドブルム prepares  攻撃  on  Niique Lucky</t>
  </si>
  <si>
    <t>04:53.290</t>
  </si>
  <si>
    <t>リンドブルム 攻撃  Niique Lucky (A: 63,001)</t>
  </si>
  <si>
    <t>04:58.546</t>
  </si>
  <si>
    <t>リンドブルム prepares  攻撃  on  Niique Lucky 67,635</t>
  </si>
  <si>
    <t>04:59.304</t>
  </si>
  <si>
    <t>リンドブルム 攻撃  Niique Lucky 67,635</t>
  </si>
  <si>
    <t>05:01.575</t>
  </si>
  <si>
    <t>リンドブルム prepares  攻撃  on  Niique Lucky 76,231</t>
  </si>
  <si>
    <t>05:02.334</t>
  </si>
  <si>
    <t>リンドブルム 攻撃  Niique Lucky 76,231</t>
  </si>
  <si>
    <t>05:04.608</t>
  </si>
  <si>
    <t>リンドブルム prepares  攻撃  on  Niique Lucky 74,903</t>
  </si>
  <si>
    <t>05:05.366</t>
  </si>
  <si>
    <t>リンドブルム 攻撃  Niique Lucky 74,903</t>
  </si>
  <si>
    <t>05:11.656</t>
  </si>
  <si>
    <t>リンドブルム prepares  攻撃  on  Niique Lucky 30,083</t>
  </si>
  <si>
    <t>05:12.412</t>
  </si>
  <si>
    <t>リンドブルム 攻撃  Niique Lucky 30,083 (A: 45,001)</t>
  </si>
  <si>
    <t>05:17.725</t>
  </si>
  <si>
    <t>05:18.484</t>
  </si>
  <si>
    <t>リンドブルム 攻撃  Niique Lucky (A: 67,953)</t>
  </si>
  <si>
    <t>05:20.757</t>
  </si>
  <si>
    <t>05:21.513</t>
  </si>
  <si>
    <t>リンドブルム 攻撃  Niique Lucky (A: 70,002)</t>
  </si>
  <si>
    <t>05:23.788</t>
  </si>
  <si>
    <t>リンドブルム prepares  攻撃  on  Niique Lucky 42,639</t>
  </si>
  <si>
    <t>05:24.544</t>
  </si>
  <si>
    <t>リンドブルム 攻撃  Niique Lucky 42,639 (A: 2,498)</t>
  </si>
  <si>
    <t>05:26.822</t>
  </si>
  <si>
    <t>リンドブルム prepares  攻撃  on  Niique Lucky 43,032</t>
  </si>
  <si>
    <t>05:27.580</t>
  </si>
  <si>
    <t>リンドブルム 攻撃  Niique Lucky 43,032 (A: 11,264)</t>
  </si>
  <si>
    <t>05:29.849</t>
  </si>
  <si>
    <t>リンドブルム prepares  攻撃  on  Niique Lucky 57,569</t>
  </si>
  <si>
    <t>05:30.604</t>
  </si>
  <si>
    <t>リンドブルム 攻撃  Niique Lucky 57,569</t>
  </si>
  <si>
    <t>05:36.879</t>
  </si>
  <si>
    <t>リンドブルム prepares  攻撃  on  Niique Lucky 69,945</t>
  </si>
  <si>
    <t>05:37.640</t>
  </si>
  <si>
    <t>リンドブルム 攻撃  Niique Lucky 69,945</t>
  </si>
  <si>
    <t>リンドブルム prepares  リンドブルム・メテオ  on  Nachi Mew 90,190</t>
  </si>
  <si>
    <t>リンドブルム prepares  リンドブルム・メテオ  on  Masaya Men 130,183</t>
  </si>
  <si>
    <t>リンドブルム prepares  リンドブルム・メテオ  on  Niique Lucky 38,341</t>
  </si>
  <si>
    <t>リンドブルム prepares  リンドブルム・メテオ  on  Rolf Teardrop 147,380</t>
  </si>
  <si>
    <t>リンドブルム prepares  リンドブルム・メテオ  on  Zzz Neterukun 123,066</t>
  </si>
  <si>
    <t>リンドブルム prepares  リンドブルム・メテオ  on  Noelle Kleinschmidt 129,214</t>
  </si>
  <si>
    <t>リンドブルム prepares  リンドブルム・メテオ  on  Ray Greed 67,893</t>
  </si>
  <si>
    <t>リンドブルム prepares  リンドブルム・メテオ  on  Tapex Videocleaner 123,848</t>
  </si>
  <si>
    <t>05:44.940</t>
  </si>
  <si>
    <t>リンドブルム prepares  攻撃  on  Niique Lucky 44,908</t>
  </si>
  <si>
    <t>05:45.607</t>
  </si>
  <si>
    <t>リンドブルム リンドブルム・メテオ  Nachi Mew 90,190 (A: 61,458)</t>
  </si>
  <si>
    <t>05:45.652</t>
  </si>
  <si>
    <t>リンドブルム リンドブルム・メテオ  Masaya Men 130,183 (A: 55,274)</t>
  </si>
  <si>
    <t>05:45.696</t>
  </si>
  <si>
    <t>リンドブルム 攻撃  Niique Lucky 44,908</t>
  </si>
  <si>
    <t>リンドブルム リンドブルム・メテオ  Niique Lucky 38,341 (A: 60,715)</t>
  </si>
  <si>
    <t>05:45.740</t>
  </si>
  <si>
    <t>リンドブルム リンドブルム・メテオ  Rolf Teardrop 147,380 (A: 55,293)</t>
  </si>
  <si>
    <t>05:45.785</t>
  </si>
  <si>
    <t>リンドブルム リンドブルム・メテオ  Zzz Neterukun 123,066 (A: 72,017)</t>
  </si>
  <si>
    <t>05:45.829</t>
  </si>
  <si>
    <t>リンドブルム リンドブルム・メテオ  Noelle Kleinschmidt 129,214 (A: 61,415)</t>
  </si>
  <si>
    <t>05:45.874</t>
  </si>
  <si>
    <t>リンドブルム リンドブルム・メテオ  Ray Greed 67,893 (A: 45,189)</t>
  </si>
  <si>
    <t>05:45.918</t>
  </si>
  <si>
    <t>リンドブルム リンドブルム・メテオ  Tapex Videocleaner 123,848 (A: 45,070)</t>
  </si>
  <si>
    <t>05:50.996</t>
  </si>
  <si>
    <t>05:51.797</t>
  </si>
  <si>
    <t>リンドブルム 攻撃  Niique Lucky (A: 37,334)</t>
  </si>
  <si>
    <t>05:57.053</t>
  </si>
  <si>
    <t>リンドブルム 1 prepares  アルカディアン・アルケイナム  on  Niique Lucky 64,420</t>
  </si>
  <si>
    <t>リンドブルム 2 prepares  アルカディアン・アルケイナム  on  Nachi Mew 55,889</t>
  </si>
  <si>
    <t>リンドブルム 3 prepares  アルカディアン・アルケイナム  on  Masaya Men 62,153</t>
  </si>
  <si>
    <t>リンドブルム 4 prepares  アルカディアン・アルケイナム  on  Ray Greed</t>
  </si>
  <si>
    <t>リンドブルム prepares  攻撃  on  Niique Lucky 46,797</t>
  </si>
  <si>
    <t>05:57.675</t>
  </si>
  <si>
    <t>リンドブルム 1 アルカディアン・アルケイナム  Niique Lucky 64,420 (A: 9,471)</t>
  </si>
  <si>
    <t>リンドブルム 2 アルカディアン・アルケイナム  Nachi Mew 55,889 (A: 58,299)</t>
  </si>
  <si>
    <t>リンドブルム 3 アルカディアン・アルケイナム  Masaya Men 62,153 (A: 48,154)</t>
  </si>
  <si>
    <t>05:57.676</t>
  </si>
  <si>
    <t>リンドブルム 4 アルカディアン・アルケイナム  Ray Greed (A: 36,009)</t>
  </si>
  <si>
    <t>05:57.852</t>
  </si>
  <si>
    <t>リンドブルム 攻撃  Niique Lucky 46,797</t>
  </si>
  <si>
    <t>06:04.090</t>
  </si>
  <si>
    <t>06:04.891</t>
  </si>
  <si>
    <t>リンドブルム 攻撃  Niique Lucky (A: 77,779)</t>
  </si>
  <si>
    <t>06:07.121</t>
  </si>
  <si>
    <t>リンドブルム prepares  攻撃  on  Niique Lucky 12,488</t>
  </si>
  <si>
    <t>06:07.879</t>
  </si>
  <si>
    <t>リンドブルム 攻撃  Niique Lucky 12,488 (A: 53,436)</t>
  </si>
  <si>
    <t>06:10.155</t>
  </si>
  <si>
    <t>リンドブルム prepares  攻撃  on  Niique Lucky 56,249</t>
  </si>
  <si>
    <t>06:10.911</t>
  </si>
  <si>
    <t>リンドブルム 攻撃  Niique Lucky 56,249</t>
  </si>
  <si>
    <t>06:11.626</t>
  </si>
  <si>
    <t>リンドブルム 3 prepares  マナバースト  on  Tapex Videocleaner</t>
  </si>
  <si>
    <t>リンドブルム 4 prepares  マナバースト  on  Masaya Men</t>
  </si>
  <si>
    <t>06:12.116</t>
  </si>
  <si>
    <t>リンドブルム 3 マナバースト  Tapex Videocleaner (A: 47,295)</t>
  </si>
  <si>
    <t>リンドブルム 4 マナバースト  Masaya Men (A: 114,135)</t>
  </si>
  <si>
    <t>06:13.188</t>
  </si>
  <si>
    <t>リンドブルム prepares  攻撃  on  Niique Lucky 51,400</t>
  </si>
  <si>
    <t>06:13.947</t>
  </si>
  <si>
    <t>リンドブルム 攻撃  Niique Lucky 51,400</t>
  </si>
  <si>
    <t>06:15.376</t>
  </si>
  <si>
    <t>人型分体 19 prepares  ヘビースラム  on  Zzz Neterukun</t>
  </si>
  <si>
    <t>人型分体 19 prepares  ヘビースラム  on  Tapex Videocleaner 154,418</t>
  </si>
  <si>
    <t>人型分体 19 prepares  ヘビースラム  on  Ray Greed</t>
  </si>
  <si>
    <t>人型分体 19 prepares  ヘビースラム  on  Rolf Teardrop</t>
  </si>
  <si>
    <t>人型分体 18 prepares  ヘビースラム  on  Nachi Mew</t>
  </si>
  <si>
    <t>人型分体 18 prepares  ヘビースラム  on  Masaya Men 50,749</t>
  </si>
  <si>
    <t>人型分体 18 prepares  ヘビースラム  on  Noelle Kleinschmidt</t>
  </si>
  <si>
    <t>人型分体 18 prepares  ヘビースラム  on  Niique Lucky 74,326</t>
  </si>
  <si>
    <t>06:16.044</t>
  </si>
  <si>
    <t>人型分体 19 ヘビースラム  Zzz Neterukun (A: 46,488)</t>
  </si>
  <si>
    <t>人型分体 18 ヘビースラム  Nachi Mew (A: 47,438)</t>
  </si>
  <si>
    <t>06:16.087</t>
  </si>
  <si>
    <t>人型分体 19 ヘビースラム  Tapex Videocleaner 154,418 (A: 81,804)</t>
  </si>
  <si>
    <t>人型分体 18 ヘビースラム  Masaya Men 50,749 (A: 81,804)</t>
  </si>
  <si>
    <t>06:16.133</t>
  </si>
  <si>
    <t>人型分体 19 ヘビースラム  Ray Greed (A: 70,158)</t>
  </si>
  <si>
    <t>人型分体 18 ヘビースラム  Noelle Kleinschmidt (A: 67,924)</t>
  </si>
  <si>
    <t>06:16.177</t>
  </si>
  <si>
    <t>人型分体 19 ヘビースラム  Rolf Teardrop (A: 61,410)</t>
  </si>
  <si>
    <t>人型分体 18 ヘビースラム  Niique Lucky 74,326</t>
  </si>
  <si>
    <t>06:16.222</t>
  </si>
  <si>
    <t>リンドブルム prepares  攻撃  on  Niique Lucky 47,624</t>
  </si>
  <si>
    <t>06:16.980</t>
  </si>
  <si>
    <t>リンドブルム 攻撃  Niique Lucky 47,624</t>
  </si>
  <si>
    <t>06:19.251</t>
  </si>
  <si>
    <t>リンドブルム prepares  攻撃  on  Niique Lucky 48,064</t>
  </si>
  <si>
    <t>06:20.006</t>
  </si>
  <si>
    <t>リンドブルム 攻撃  Niique Lucky 48,064</t>
  </si>
  <si>
    <t>06:21.655</t>
  </si>
  <si>
    <t>リンドブルム 3 prepares  マナバースト  on  Ray Greed 30,304</t>
  </si>
  <si>
    <t>リンドブルム 4 prepares  マナバースト  on  Niique Lucky 69,328</t>
  </si>
  <si>
    <t>06:22.145</t>
  </si>
  <si>
    <t>リンドブルム 3 マナバースト  Ray Greed 30,304 (A: 52,473)</t>
  </si>
  <si>
    <t>リンドブルム 4 マナバースト  Niique Lucky 69,328</t>
  </si>
  <si>
    <t>06:22.279</t>
  </si>
  <si>
    <t>リンドブルム prepares  攻撃  on  Niique Lucky 53,698</t>
  </si>
  <si>
    <t>06:23.036</t>
  </si>
  <si>
    <t>リンドブルム 攻撃  Niique Lucky 53,698</t>
  </si>
  <si>
    <t>06:25.309</t>
  </si>
  <si>
    <t>リンドブルム prepares  攻撃  on  Niique Lucky 62,281</t>
  </si>
  <si>
    <t>06:25.353</t>
  </si>
  <si>
    <t>人型分体 22 prepares  ヘビースラム  on  Rolf Teardrop 58,321</t>
  </si>
  <si>
    <t>人型分体 22 prepares  ヘビースラム  on  Ray Greed 86,103</t>
  </si>
  <si>
    <t>人型分体 22 prepares  ヘビースラム  on  Tapex Videocleaner 107,823</t>
  </si>
  <si>
    <t>人型分体 22 prepares  ヘビースラム  on  Zzz Neterukun 102,804</t>
  </si>
  <si>
    <t>人型分体 17 prepares  ヘビースラム  on  Noelle Kleinschmidt 65,945</t>
  </si>
  <si>
    <t>人型分体 17 prepares  ヘビースラム  on  Niique Lucky 85,479</t>
  </si>
  <si>
    <t>人型分体 17 prepares  ヘビースラム  on  Masaya Men 77,612</t>
  </si>
  <si>
    <t>人型分体 17 prepares  ヘビースラム  on  Nachi Mew 77,989</t>
  </si>
  <si>
    <t>06:25.977</t>
  </si>
  <si>
    <t>人型分体 22 ヘビースラム  Rolf Teardrop 58,321 (A: 131,222)</t>
  </si>
  <si>
    <t>人型分体 17 ヘビースラム  Noelle Kleinschmidt 65,945 (A: 111,950)</t>
  </si>
  <si>
    <t>06:26.022</t>
  </si>
  <si>
    <t>人型分体 22 ヘビースラム  Ray Greed 86,103</t>
  </si>
  <si>
    <t>人型分体 17 ヘビースラム  Niique Lucky 85,479</t>
  </si>
  <si>
    <t>06:26.067</t>
  </si>
  <si>
    <t>リンドブルム 攻撃  Niique Lucky 62,281</t>
  </si>
  <si>
    <t>人型分体 22 ヘビースラム  Tapex Videocleaner 107,823 (A: 29,418)</t>
  </si>
  <si>
    <t>人型分体 17 ヘビースラム  Masaya Men 77,612 (A: 49,270)</t>
  </si>
  <si>
    <t>06:26.111</t>
  </si>
  <si>
    <t>人型分体 22 ヘビースラム  Zzz Neterukun 102,804 (A: 112,361)</t>
  </si>
  <si>
    <t>人型分体 17 ヘビースラム  Nachi Mew 77,989 (A: 112,235)</t>
  </si>
  <si>
    <t>06:28.337</t>
  </si>
  <si>
    <t>リンドブルム prepares  攻撃  on  Niique Lucky 15,227</t>
  </si>
  <si>
    <t>06:29.094</t>
  </si>
  <si>
    <t>リンドブルム 攻撃  Niique Lucky 15,227 (A: 31,858)</t>
  </si>
  <si>
    <t>06:35.380</t>
  </si>
  <si>
    <t>リンドブルム prepares  攻撃  on  Niique Lucky 42,879</t>
  </si>
  <si>
    <t>06:36.138</t>
  </si>
  <si>
    <t>リンドブルム 攻撃  Niique Lucky 42,879</t>
  </si>
  <si>
    <t>06:38.412</t>
  </si>
  <si>
    <t>リンドブルム prepares  攻撃  on  Niique Lucky 44,684 (P: 7,885)</t>
  </si>
  <si>
    <t>06:38.768</t>
  </si>
  <si>
    <t>リンドブルム 7 prepares  着弾  on  Tapex Videocleaner 10,419</t>
  </si>
  <si>
    <t>リンドブルム 8 prepares  着弾  on  Nachi Mew 5,016</t>
  </si>
  <si>
    <t>リンドブルム 5 prepares  着弾  on  Niique Lucky 14,712</t>
  </si>
  <si>
    <t>リンドブルム 6 prepares  着弾  on  Rolf Teardrop 10,218</t>
  </si>
  <si>
    <t>リンドブルム 1 prepares  着弾  on  Zzz Neterukun 8,391</t>
  </si>
  <si>
    <t>リンドブルム 2 prepares  着弾  on  Ray Greed</t>
  </si>
  <si>
    <t>リンドブルム 3 prepares  着弾  on  Noelle Kleinschmidt 7,513</t>
  </si>
  <si>
    <t>リンドブルム 4 prepares  着弾  on  Masaya Men 6,079</t>
  </si>
  <si>
    <t>06:39.168</t>
  </si>
  <si>
    <t>リンドブルム 攻撃  Niique Lucky 44,684 (P: 7,885)</t>
  </si>
  <si>
    <t>06:39.391</t>
  </si>
  <si>
    <t>リンドブルム 7 着弾  Tapex Videocleaner 10,419 (A: 27,079)</t>
  </si>
  <si>
    <t>リンドブルム 8 着弾  Nachi Mew 5,016 (A: 28,013)</t>
  </si>
  <si>
    <t>リンドブルム 5 着弾  Niique Lucky 14,712</t>
  </si>
  <si>
    <t>リンドブルム 6 着弾  Rolf Teardrop 10,218 (A: 27,811)</t>
  </si>
  <si>
    <t>リンドブルム 1 着弾  Zzz Neterukun 8,391 (A: 27,588)</t>
  </si>
  <si>
    <t>リンドブルム 2 着弾  Ray Greed</t>
  </si>
  <si>
    <t>リンドブルム 3 着弾  Noelle Kleinschmidt 7,513 (A: 26,991)</t>
  </si>
  <si>
    <t>リンドブルム 4 着弾  Masaya Men 6,079 (A: 27,007)</t>
  </si>
  <si>
    <t>リンドブルム 9 prepares  リンドブルム・ダーラ  on  Zzz Neterukun 88,410</t>
  </si>
  <si>
    <t>リンドブルム 12 prepares  リンドブルム・ダーラ  on  Tapex Videocleaner 88,833</t>
  </si>
  <si>
    <t>06:39.879</t>
  </si>
  <si>
    <t>リンドブルム 9 リンドブルム・ダーラ  Zzz Neterukun 88,410</t>
  </si>
  <si>
    <t>リンドブルム 12 リンドブルム・ダーラ  Tapex Videocleaner 88,833</t>
  </si>
  <si>
    <t>06:41.440</t>
  </si>
  <si>
    <t>リンドブルム prepares  攻撃  on  Niique Lucky 53,730</t>
  </si>
  <si>
    <t>06:42.197</t>
  </si>
  <si>
    <t>リンドブルム 攻撃  Niique Lucky 53,730</t>
  </si>
  <si>
    <t>06:44.469</t>
  </si>
  <si>
    <t>リンドブルム prepares  攻撃  on  Niique Lucky 55,433</t>
  </si>
  <si>
    <t>06:45.226</t>
  </si>
  <si>
    <t>リンドブルム 攻撃  Niique Lucky 55,433</t>
  </si>
  <si>
    <t>06:47.495</t>
  </si>
  <si>
    <t>リンドブルム prepares  攻撃  on  Niique Lucky 72,004</t>
  </si>
  <si>
    <t>06:48.256</t>
  </si>
  <si>
    <t>リンドブルム 攻撃  Niique Lucky 72,004</t>
  </si>
  <si>
    <t>06:49.416</t>
  </si>
  <si>
    <t>リンドブルム 7 prepares  リンドブルム・サンダラ  on  Ray Greed 46,381</t>
  </si>
  <si>
    <t>リンドブルム 8 prepares  リンドブルム・グレア  on  Zzz Neterukun 89,634</t>
  </si>
  <si>
    <t>06:49.417</t>
  </si>
  <si>
    <t>リンドブルム 5 prepares  リンドブルム・サンダラ  on  Nachi Mew 80,723</t>
  </si>
  <si>
    <t>リンドブルム 6 prepares  リンドブルム・グレア  on  Rolf Teardrop 96,299</t>
  </si>
  <si>
    <t>リンドブルム 1 prepares  リンドブルム・サンダラ  on  Masaya Men 85,210</t>
  </si>
  <si>
    <t>リンドブルム 2 prepares  リンドブルム・グレア  on  Noelle Kleinschmidt 81,667</t>
  </si>
  <si>
    <t>リンドブルム 3 prepares  リンドブルム・グレア  on  Tapex Videocleaner 94,959</t>
  </si>
  <si>
    <t>リンドブルム 4 prepares  リンドブルム・サンダラ  on  Niique Lucky 50,627</t>
  </si>
  <si>
    <t>06:50.081</t>
  </si>
  <si>
    <t>リンドブルム 7 リンドブルム・サンダラ  Ray Greed 46,381 (A: 28,020)</t>
  </si>
  <si>
    <t>リンドブルム 8 リンドブルム・グレア  Zzz Neterukun 89,634</t>
  </si>
  <si>
    <t>リンドブルム 5 リンドブルム・サンダラ  Nachi Mew 80,723</t>
  </si>
  <si>
    <t>リンドブルム 6 リンドブルム・グレア  Rolf Teardrop 96,299</t>
  </si>
  <si>
    <t>リンドブルム 1 リンドブルム・サンダラ  Masaya Men 85,210</t>
  </si>
  <si>
    <t>リンドブルム 2 リンドブルム・グレア  Noelle Kleinschmidt 81,667</t>
  </si>
  <si>
    <t>リンドブルム 3 リンドブルム・グレア  Tapex Videocleaner 94,959</t>
  </si>
  <si>
    <t>リンドブルム 4 リンドブルム・サンダラ  Niique Lucky 50,627</t>
  </si>
  <si>
    <t>06:50.526</t>
  </si>
  <si>
    <t>リンドブルム prepares  攻撃  on  Niique Lucky 77,131</t>
  </si>
  <si>
    <t>06:51.284</t>
  </si>
  <si>
    <t>リンドブルム 攻撃  Niique Lucky 77,131</t>
  </si>
  <si>
    <t>06:53.553</t>
  </si>
  <si>
    <t>リンドブルム prepares  攻撃  on  Niique Lucky 79,575</t>
  </si>
  <si>
    <t>06:54.353</t>
  </si>
  <si>
    <t>リンドブルム 攻撃  Niique Lucky 79,575</t>
  </si>
  <si>
    <t>06:59.604</t>
  </si>
  <si>
    <t>リンドブルム prepares  攻撃  on  Niique Lucky 4,809</t>
  </si>
  <si>
    <t>07:00.361</t>
  </si>
  <si>
    <t>リンドブルム 攻撃  Niique Lucky 4,809 (A: 40,453)</t>
  </si>
  <si>
    <t>07:02.636</t>
  </si>
  <si>
    <t>07:03.394</t>
  </si>
  <si>
    <t>リンドブルム 攻撃  Niique Lucky (A: 46,668)</t>
  </si>
  <si>
    <t>07:05.671</t>
  </si>
  <si>
    <t>リンドブルム prepares  攻撃  on  Niique Lucky 19,957</t>
  </si>
  <si>
    <t>リンドブルム 攻撃  Niique Lucky 19,957 (A: 25,832)</t>
  </si>
  <si>
    <t>07:12.715</t>
  </si>
  <si>
    <t>リンドブルム prepares  攻撃  on  Niique Lucky 78,086</t>
  </si>
  <si>
    <t>07:13.474</t>
  </si>
  <si>
    <t>リンドブルム 攻撃  Niique Lucky 78,086</t>
  </si>
  <si>
    <t>07:18.777</t>
  </si>
  <si>
    <t>リンドブルム prepares  攻撃  on  Niique Lucky 62,452</t>
  </si>
  <si>
    <t>07:19.535</t>
  </si>
  <si>
    <t>リンドブルム 攻撃  Niique Lucky 62,452</t>
  </si>
  <si>
    <t>07:20.163</t>
  </si>
  <si>
    <t>リンドブルム 1 prepares  ヘビースラム  on  Nachi Mew 112,567</t>
  </si>
  <si>
    <t>リンドブルム 1 prepares  ヘビースラム  on  Tapex Videocleaner 122,589</t>
  </si>
  <si>
    <t>リンドブルム 1 prepares  ヘビースラム  on  Rolf Teardrop 119,955</t>
  </si>
  <si>
    <t>リンドブルム 1 prepares  ヘビースラム  on  Niique Lucky 86,073</t>
  </si>
  <si>
    <t>リンドブルム 2 prepares  ヘビースラム  on  Ray Greed 51,676</t>
  </si>
  <si>
    <t>リンドブルム 2 prepares  ヘビースラム  on  Zzz Neterukun 122,977</t>
  </si>
  <si>
    <t>リンドブルム 2 prepares  ヘビースラム  on  Masaya Men 109,196</t>
  </si>
  <si>
    <t>リンドブルム 2 prepares  ヘビースラム  on  Noelle Kleinschmidt 98,442</t>
  </si>
  <si>
    <t>07:20.337</t>
  </si>
  <si>
    <t>リンドブルム 1 ヘビースラム  Nachi Mew 112,567 (A: 27,297)</t>
  </si>
  <si>
    <t>リンドブルム 2 ヘビースラム  Ray Greed 51,676 (A: 40,486)</t>
  </si>
  <si>
    <t>07:20.381</t>
  </si>
  <si>
    <t>リンドブルム 1 ヘビースラム  Tapex Videocleaner 122,589 (A: 26,982)</t>
  </si>
  <si>
    <t>リンドブルム 2 ヘビースラム  Zzz Neterukun 122,977 (A: 27,030)</t>
  </si>
  <si>
    <t>07:20.426</t>
  </si>
  <si>
    <t>リンドブルム 1 ヘビースラム  Rolf Teardrop 119,955 (A: 26,740)</t>
  </si>
  <si>
    <t>リンドブルム 2 ヘビースラム  Masaya Men 109,196 (A: 28,053)</t>
  </si>
  <si>
    <t>07:20.471</t>
  </si>
  <si>
    <t>リンドブルム 1 ヘビースラム  Niique Lucky 86,073</t>
  </si>
  <si>
    <t>リンドブルム 2 ヘビースラム  Noelle Kleinschmidt 98,442 (A: 43,822)</t>
  </si>
  <si>
    <t>07:25.820</t>
  </si>
  <si>
    <t>リンドブルム prepares  攻撃  on  Niique Lucky 65,537</t>
  </si>
  <si>
    <t>07:26.579</t>
  </si>
  <si>
    <t>リンドブルム 攻撃  Niique Lucky 65,537</t>
  </si>
  <si>
    <t>07:28.852</t>
  </si>
  <si>
    <t>リンドブルム prepares  攻撃  on  Niique Lucky 73,521</t>
  </si>
  <si>
    <t>07:29.608</t>
  </si>
  <si>
    <t>リンドブルム 攻撃  Niique Lucky 73,521</t>
  </si>
  <si>
    <t>07:35.894</t>
  </si>
  <si>
    <t>リンドブルム prepares  攻撃  on  Niique Lucky 48,158</t>
  </si>
  <si>
    <t>07:36.653</t>
  </si>
  <si>
    <t>リンドブルム 攻撃  Niique Lucky 48,158 (A: 33,372)</t>
  </si>
  <si>
    <t>07:38.928</t>
  </si>
  <si>
    <t>リンドブルム prepares  攻撃  on  Niique Lucky 81,775</t>
  </si>
  <si>
    <t>07:39.687</t>
  </si>
  <si>
    <t>リンドブルム 攻撃  Niique Lucky 81,775</t>
  </si>
  <si>
    <t>07:41.114</t>
  </si>
  <si>
    <t>リンドブルム 1 prepares  ヘビースラム  on  Ray Greed 47,290</t>
  </si>
  <si>
    <t>リンドブルム 1 prepares  ヘビースラム  on  Noelle Kleinschmidt 125,415</t>
  </si>
  <si>
    <t>リンドブルム 1 prepares  ヘビースラム  on  Zzz Neterukun 151,153</t>
  </si>
  <si>
    <t>リンドブルム 1 prepares  ヘビースラム  on  Masaya Men 141,770</t>
  </si>
  <si>
    <t>リンドブルム 2 prepares  ヘビースラム  on  Tapex Videocleaner 125,002</t>
  </si>
  <si>
    <t>リンドブルム 2 prepares  ヘビースラム  on  Nachi Mew 144,339</t>
  </si>
  <si>
    <t>リンドブルム 2 prepares  ヘビースラム  on  Niique Lucky 106,212</t>
  </si>
  <si>
    <t>リンドブルム 2 prepares  ヘビースラム  on  Rolf Teardrop 131,880</t>
  </si>
  <si>
    <t>07:41.292</t>
  </si>
  <si>
    <t>リンドブルム 1 ヘビースラム  Ray Greed 47,290 (A: 63,478)</t>
  </si>
  <si>
    <t>リンドブルム 2 ヘビースラム  Tapex Videocleaner 125,002 (A: 54,325)</t>
  </si>
  <si>
    <t>07:41.336</t>
  </si>
  <si>
    <t>リンドブルム 1 ヘビースラム  Noelle Kleinschmidt 125,415 (A: 51,492)</t>
  </si>
  <si>
    <t>リンドブルム 2 ヘビースラム  Nachi Mew 144,339 (A: 33,546)</t>
  </si>
  <si>
    <t>07:41.382</t>
  </si>
  <si>
    <t>リンドブルム 1 ヘビースラム  Zzz Neterukun 151,153 (A: 32,981)</t>
  </si>
  <si>
    <t>リンドブルム 2 ヘビースラム  Niique Lucky 106,212</t>
  </si>
  <si>
    <t>07:41.427</t>
  </si>
  <si>
    <t>リンドブルム 1 ヘビースラム  Masaya Men 141,770 (A: 33,537)</t>
  </si>
  <si>
    <t>リンドブルム 2 ヘビースラム  Rolf Teardrop 131,880 (A: 53,492)</t>
  </si>
  <si>
    <t>07:41.961</t>
  </si>
  <si>
    <t>リンドブルム prepares  攻撃  on  Niique Lucky 79,345</t>
  </si>
  <si>
    <t>07:42.720</t>
  </si>
  <si>
    <t>リンドブルム 攻撃  Niique Lucky 79,345</t>
  </si>
  <si>
    <t>07:44.994</t>
  </si>
  <si>
    <t>リンドブルム prepares  攻撃  on  Niique Lucky 32,087</t>
  </si>
  <si>
    <t>07:45.750</t>
  </si>
  <si>
    <t>リンドブルム 攻撃  Niique Lucky 32,087 (A: 33,744)</t>
  </si>
  <si>
    <t>リンドブルム prepares  アルカディアン・ドリーム  on  Noelle Kleinschmidt 123,984</t>
  </si>
  <si>
    <t>リンドブルム prepares  アルカディアン・ドリーム  on  Ray Greed 63,403</t>
  </si>
  <si>
    <t>リンドブルム prepares  アルカディアン・ドリーム  on  Zzz Neterukun 128,223</t>
  </si>
  <si>
    <t>リンドブルム prepares  アルカディアン・ドリーム  on  Niique Lucky 28,438</t>
  </si>
  <si>
    <t>リンドブルム prepares  アルカディアン・ドリーム  on  Masaya Men 114,672</t>
  </si>
  <si>
    <t>リンドブルム prepares  アルカディアン・ドリーム  on  Tapex Videocleaner 127,067</t>
  </si>
  <si>
    <t>リンドブルム prepares  アルカディアン・ドリーム  on  Rolf Teardrop 120,925</t>
  </si>
  <si>
    <t>リンドブルム prepares  アルカディアン・ドリーム  on  Nachi Mew 123,662</t>
  </si>
  <si>
    <t>07:53.049</t>
  </si>
  <si>
    <t>リンドブルム アルカディアン・ドリーム  Noelle Kleinschmidt 123,984 (A: 33,037)</t>
  </si>
  <si>
    <t>リンドブルム prepares  攻撃  on  Niique Lucky 34,556</t>
  </si>
  <si>
    <t>07:53.093</t>
  </si>
  <si>
    <t>リンドブルム アルカディアン・ドリーム  Ray Greed 63,403 (A: 32,310)</t>
  </si>
  <si>
    <t>07:53.137</t>
  </si>
  <si>
    <t>リンドブルム アルカディアン・ドリーム  Zzz Neterukun 128,223 (A: 32,137)</t>
  </si>
  <si>
    <t>07:53.181</t>
  </si>
  <si>
    <t>リンドブルム アルカディアン・ドリーム  Niique Lucky 28,438 (A: 39,602)</t>
  </si>
  <si>
    <t>07:53.226</t>
  </si>
  <si>
    <t>リンドブルム アルカディアン・ドリーム  Masaya Men 114,672 (A: 32,725)</t>
  </si>
  <si>
    <t>07:53.270</t>
  </si>
  <si>
    <t>リンドブルム アルカディアン・ドリーム  Tapex Videocleaner 127,067 (A: 33,258)</t>
  </si>
  <si>
    <t>07:53.315</t>
  </si>
  <si>
    <t>リンドブルム アルカディアン・ドリーム  Rolf Teardrop 120,925 (A: 52,430)</t>
  </si>
  <si>
    <t>07:53.359</t>
  </si>
  <si>
    <t>リンドブルム アルカディアン・ドリーム  Nachi Mew 123,662 (A: 32,234)</t>
  </si>
  <si>
    <t>07:53.847</t>
  </si>
  <si>
    <t>リンドブルム 攻撃  Niique Lucky 34,556</t>
  </si>
  <si>
    <t>リンドブルム prepares  ダブルソバット  on  Niique Lucky 804,208 (P: 141,919)</t>
  </si>
  <si>
    <t>08:01.103</t>
  </si>
  <si>
    <t>リンドブルム prepares  攻撃  on  Niique Lucky 52,567</t>
  </si>
  <si>
    <t>08:01.639</t>
  </si>
  <si>
    <t>リンドブルム ダブルソバット  Niique Lucky 290,001 (A: 514,206) (P: 141,919)</t>
  </si>
  <si>
    <t>08:04.137</t>
  </si>
  <si>
    <t>リンドブルム prepares  攻撃  on  Niique Lucky 67,212</t>
  </si>
  <si>
    <t>08:04.895</t>
  </si>
  <si>
    <t>リンドブルム 攻撃  Niique Lucky 67,212</t>
  </si>
  <si>
    <t>08:07.171</t>
  </si>
  <si>
    <t>リンドブルム prepares  攻撃  on  Niique Lucky 75,899</t>
  </si>
  <si>
    <t>08:07.483</t>
  </si>
  <si>
    <t>リンドブルム 3 prepares  マナコンビネーション  on  Niique Lucky 482,048</t>
  </si>
  <si>
    <t>リンドブルム 4 prepares  マナコンビネーション  on  Ray Greed 126,990</t>
  </si>
  <si>
    <t>08:07.929</t>
  </si>
  <si>
    <t>リンドブルム 攻撃  Niique Lucky 75,899</t>
  </si>
  <si>
    <t>08:08.107</t>
  </si>
  <si>
    <t>リンドブルム 3 マナコンビネーション  Niique Lucky 73,612 (A: 408,435)</t>
  </si>
  <si>
    <t>リンドブルム 4 マナコンビネーション  Ray Greed 126,990 (A: 160,880)</t>
  </si>
  <si>
    <t>08:10.202</t>
  </si>
  <si>
    <t>リンドブルム prepares  攻撃  on  Ray Greed 30,033 (P: 5,300)</t>
  </si>
  <si>
    <t>08:10.960</t>
  </si>
  <si>
    <t>リンドブルム 攻撃  Ray Greed 30,033 (P: 5,300)</t>
  </si>
  <si>
    <t>08:13.234</t>
  </si>
  <si>
    <t>リンドブルム prepares  攻撃  on  Ray Greed 41,651</t>
  </si>
  <si>
    <t>08:13.991</t>
  </si>
  <si>
    <t>リンドブルム 攻撃  Ray Greed 41,651</t>
  </si>
  <si>
    <t>08:21.291</t>
  </si>
  <si>
    <t>リンドブルム prepares  攻撃  on  Niique Lucky 31,523</t>
  </si>
  <si>
    <t>08:22.049</t>
  </si>
  <si>
    <t>リンドブルム 攻撃  Niique Lucky 31,523 (A: 45,808)</t>
  </si>
  <si>
    <t>08:24.322</t>
  </si>
  <si>
    <t>リンドブルム prepares  攻撃  on  Niique Lucky 64,042</t>
  </si>
  <si>
    <t>08:25.080</t>
  </si>
  <si>
    <t>リンドブルム 攻撃  Niique Lucky 64,042 (A: 13,694)</t>
  </si>
  <si>
    <t>08:27.357</t>
  </si>
  <si>
    <t>リンドブルム prepares  攻撃  on  Niique Lucky 48,921</t>
  </si>
  <si>
    <t>08:28.115</t>
  </si>
  <si>
    <t>リンドブルム 攻撃  Niique Lucky 48,921</t>
  </si>
  <si>
    <t>人型分体 24 prepares  アルカディアン・ヘル  on  Zzz Neterukun</t>
  </si>
  <si>
    <t>人型分体 24 prepares  アルカディアン・ヘル  on  Noelle Kleinschmidt</t>
  </si>
  <si>
    <t>人型分体 24 prepares  アルカディアン・ヘル  on  Masaya Men</t>
  </si>
  <si>
    <t>人型分体 24 prepares  アルカディアン・ヘル  on  Ray Greed</t>
  </si>
  <si>
    <t>人型分体 24 prepares  アルカディアン・ヘル  on  Nachi Mew</t>
  </si>
  <si>
    <t>人型分体 24 prepares  アルカディアン・ヘル  on  Tapex Videocleaner</t>
  </si>
  <si>
    <t>人型分体 24 prepares  アルカディアン・ヘル  on  Niique Lucky</t>
  </si>
  <si>
    <t>人型分体 24 prepares  アルカディアン・ヘル  on  Rolf Teardrop</t>
  </si>
  <si>
    <t>人型分体 25 prepares  アルカディアン・ヘル  on  Rolf Teardrop</t>
  </si>
  <si>
    <t>人型分体 25 prepares  アルカディアン・ヘル  on  Masaya Men</t>
  </si>
  <si>
    <t>人型分体 25 prepares  アルカディアン・ヘル  on  Nachi Mew</t>
  </si>
  <si>
    <t>人型分体 25 prepares  アルカディアン・ヘル  on  Niique Lucky</t>
  </si>
  <si>
    <t>人型分体 25 prepares  アルカディアン・ヘル  on  Ray Greed</t>
  </si>
  <si>
    <t>人型分体 25 prepares  アルカディアン・ヘル  on  Tapex Videocleaner</t>
  </si>
  <si>
    <t>人型分体 25 prepares  アルカディアン・ヘル  on  Noelle Kleinschmidt</t>
  </si>
  <si>
    <t>人型分体 25 prepares  アルカディアン・ヘル  on  Zzz Neterukun</t>
  </si>
  <si>
    <t>人型分体 26 prepares  アルカディアン・ヘル  on  Niique Lucky</t>
  </si>
  <si>
    <t>人型分体 26 prepares  アルカディアン・ヘル  on  Masaya Men</t>
  </si>
  <si>
    <t>人型分体 26 prepares  アルカディアン・ヘル  on  Rolf Teardrop</t>
  </si>
  <si>
    <t>人型分体 26 prepares  アルカディアン・ヘル  on  Zzz Neterukun</t>
  </si>
  <si>
    <t>人型分体 26 prepares  アルカディアン・ヘル  on  Ray Greed</t>
  </si>
  <si>
    <t>人型分体 26 prepares  アルカディアン・ヘル  on  Noelle Kleinschmidt</t>
  </si>
  <si>
    <t>人型分体 26 prepares  アルカディアン・ヘル  on  Nachi Mew</t>
  </si>
  <si>
    <t>人型分体 26 prepares  アルカディアン・ヘル  on  Tapex Videocleaner</t>
  </si>
  <si>
    <t>人型分体 27 prepares  アルカディアン・ヘル  on  Tapex Videocleaner</t>
  </si>
  <si>
    <t>人型分体 27 prepares  アルカディアン・ヘル  on  Nachi Mew</t>
  </si>
  <si>
    <t>人型分体 27 prepares  アルカディアン・ヘル  on  Ray Greed</t>
  </si>
  <si>
    <t>人型分体 27 prepares  アルカディアン・ヘル  on  Noelle Kleinschmidt</t>
  </si>
  <si>
    <t>人型分体 27 prepares  アルカディアン・ヘル  on  Zzz Neterukun</t>
  </si>
  <si>
    <t>人型分体 27 prepares  アルカディアン・ヘル  on  Rolf Teardrop</t>
  </si>
  <si>
    <t>人型分体 27 prepares  アルカディアン・ヘル  on  Masaya Men</t>
  </si>
  <si>
    <t>人型分体 27 prepares  アルカディアン・ヘル  on  Niique Lucky</t>
  </si>
  <si>
    <t>リンドブルム prepares  アルカディアン・ヘル  on  Masaya Men 62,135</t>
  </si>
  <si>
    <t>リンドブルム prepares  アルカディアン・ヘル  on  Rolf Teardrop 96,279</t>
  </si>
  <si>
    <t>リンドブルム prepares  アルカディアン・ヘル  on  Zzz Neterukun 112,263</t>
  </si>
  <si>
    <t>リンドブルム prepares  アルカディアン・ヘル  on  Ray Greed</t>
  </si>
  <si>
    <t>リンドブルム prepares  アルカディアン・ヘル  on  Nachi Mew 82,495</t>
  </si>
  <si>
    <t>リンドブルム prepares  アルカディアン・ヘル  on  Noelle Kleinschmidt 90,522</t>
  </si>
  <si>
    <t>リンドブルム prepares  アルカディアン・ヘル  on  Niique Lucky</t>
  </si>
  <si>
    <t>リンドブルム prepares  アルカディアン・ヘル  on  Tapex Videocleaner 72,201</t>
  </si>
  <si>
    <t>08:35.425</t>
  </si>
  <si>
    <t>リンドブルム prepares  攻撃  on  Niique Lucky 40,326</t>
  </si>
  <si>
    <t>08:35.962</t>
  </si>
  <si>
    <t>人型分体 24 アルカディアン・ヘル  Zzz Neterukun (A: 78,479)</t>
  </si>
  <si>
    <t>人型分体 25 アルカディアン・ヘル  Rolf Teardrop (A: 90,544)</t>
  </si>
  <si>
    <t>人型分体 26 アルカディアン・ヘル  Niique Lucky (A: 90,389)</t>
  </si>
  <si>
    <t>人型分体 27 アルカディアン・ヘル  Tapex Videocleaner (A: 109,523)</t>
  </si>
  <si>
    <t>着弾回復量</t>
  </si>
  <si>
    <t>継続回復(Tick)</t>
  </si>
  <si>
    <t>バリア量</t>
  </si>
  <si>
    <t>Σ</t>
  </si>
  <si>
    <t>※PIEとCRTは考慮しないため実際よりほんの少し数値低め</t>
  </si>
  <si>
    <t>スキル</t>
  </si>
  <si>
    <t>Icon</t>
  </si>
  <si>
    <t>（HoT合計）</t>
  </si>
  <si>
    <t>ヒールバフ率</t>
  </si>
  <si>
    <t>ディヴァインカレス</t>
  </si>
  <si>
    <t>Job</t>
  </si>
  <si>
    <t>Lv</t>
  </si>
  <si>
    <t>Action</t>
  </si>
  <si>
    <t>Recast</t>
  </si>
  <si>
    <t>Charge</t>
  </si>
  <si>
    <t>Mitigation</t>
  </si>
  <si>
    <t>Duration</t>
  </si>
  <si>
    <t>Buff</t>
  </si>
  <si>
    <t>Potency</t>
  </si>
  <si>
    <t>HoT Potency</t>
  </si>
  <si>
    <t>Barrier Potency</t>
  </si>
  <si>
    <t>Barrier Duration</t>
  </si>
  <si>
    <t>Role</t>
  </si>
  <si>
    <t>H</t>
  </si>
  <si>
    <t>HOT_H1</t>
  </si>
  <si>
    <t>HOT_H(tick)</t>
  </si>
  <si>
    <t>HOT_H</t>
  </si>
  <si>
    <t>Barrier_H1</t>
  </si>
  <si>
    <t>Barrier_H</t>
  </si>
  <si>
    <t>HP_Barrier_Potency</t>
  </si>
  <si>
    <t>HP_Barrier_H</t>
  </si>
  <si>
    <t>ナイト</t>
  </si>
  <si>
    <t>ディヴァインヴェールlv.90</t>
  </si>
  <si>
    <t>Tank</t>
  </si>
  <si>
    <t>パッセージ・オブ・アームズ</t>
  </si>
  <si>
    <t>タンク</t>
  </si>
  <si>
    <t>リプライザルlv.100</t>
  </si>
  <si>
    <t>戦士</t>
  </si>
  <si>
    <t>シェイクオフlv.80</t>
  </si>
  <si>
    <t>暗黒騎士</t>
  </si>
  <si>
    <t>ダークミッショナリー</t>
  </si>
  <si>
    <t>ブラックナイト</t>
  </si>
  <si>
    <t>ガンブレイカー</t>
  </si>
  <si>
    <t>ハート・オブ・ライト</t>
  </si>
  <si>
    <t>ランパート</t>
  </si>
  <si>
    <t>白魔道士</t>
  </si>
  <si>
    <t>メディカ</t>
  </si>
  <si>
    <t>Healer</t>
  </si>
  <si>
    <t>ケアルラ</t>
  </si>
  <si>
    <t>リジェネ</t>
  </si>
  <si>
    <t>インドゥルゲンティア</t>
  </si>
  <si>
    <t>アサイラムlv.78</t>
  </si>
  <si>
    <t>アサイズ</t>
  </si>
  <si>
    <t>ディヴァインベニゾン</t>
  </si>
  <si>
    <t>ハート・オブ・ラプチャー</t>
  </si>
  <si>
    <t>テンパランス</t>
  </si>
  <si>
    <t>リタージー・オブ・ベル</t>
  </si>
  <si>
    <t>リタージー・オブ・ベル(自動カウンター)</t>
  </si>
  <si>
    <t>リタージー・オブ・ベル(時間経過)</t>
  </si>
  <si>
    <t>メディガ</t>
  </si>
  <si>
    <t>学者</t>
  </si>
  <si>
    <t>光の囁き</t>
  </si>
  <si>
    <t>鼓舞激励の策</t>
  </si>
  <si>
    <t>フェイイルミネーション</t>
  </si>
  <si>
    <t>野戦治療の陣lv.80</t>
  </si>
  <si>
    <t>不撓不屈の策</t>
  </si>
  <si>
    <t>秘策</t>
  </si>
  <si>
    <t>フェイブレッシング</t>
  </si>
  <si>
    <t>サモン・セラフィム</t>
  </si>
  <si>
    <t>コンソレイション</t>
  </si>
  <si>
    <t>セラフィックヴェール</t>
  </si>
  <si>
    <t>生命回生法</t>
  </si>
  <si>
    <t>疾風怒濤の計</t>
  </si>
  <si>
    <t>意気軒昂の策</t>
  </si>
  <si>
    <t>セラフィズム</t>
  </si>
  <si>
    <t>アクセッション</t>
  </si>
  <si>
    <t>占星術師</t>
  </si>
  <si>
    <t>ヘリオス</t>
  </si>
  <si>
    <t>ベネフィラ</t>
  </si>
  <si>
    <t>ビエルゴの塔</t>
  </si>
  <si>
    <t>世界樹の幹</t>
  </si>
  <si>
    <t>サリャクの水瓶</t>
  </si>
  <si>
    <t>アスペクト・ベネフィク</t>
  </si>
  <si>
    <t>アスペクト・ヘリオス</t>
  </si>
  <si>
    <t>クラウンレディ</t>
  </si>
  <si>
    <t xml:space="preserve"> N・アスペクト・ヘリオス</t>
  </si>
  <si>
    <t xml:space="preserve"> N・アスペクト・ヘリオス(バリア)</t>
  </si>
  <si>
    <t>運命の輪</t>
  </si>
  <si>
    <t>星天対抗</t>
  </si>
  <si>
    <t>アーサリースター</t>
  </si>
  <si>
    <t>星天交差</t>
  </si>
  <si>
    <t>ホロスコープ</t>
  </si>
  <si>
    <t>ニュートラルセクト</t>
  </si>
  <si>
    <t>マクロコスモス</t>
  </si>
  <si>
    <t>コンジャクション・ヘリオス</t>
  </si>
  <si>
    <t>N・コンジャクション・ヘリオス</t>
  </si>
  <si>
    <t>N・コンジャクション・ヘリオス(バリア)</t>
  </si>
  <si>
    <t>サンサイン</t>
  </si>
  <si>
    <t>賢者</t>
  </si>
  <si>
    <t>プログノシス</t>
  </si>
  <si>
    <t>ケーラコレlv.80</t>
  </si>
  <si>
    <t>イックソコレ</t>
  </si>
  <si>
    <t>ゾーエ</t>
  </si>
  <si>
    <t>ピュシスII</t>
  </si>
  <si>
    <t>ホーリズム</t>
  </si>
  <si>
    <t>パンハイマ</t>
  </si>
  <si>
    <t>パンハイマの印</t>
  </si>
  <si>
    <t>プネウマ</t>
  </si>
  <si>
    <t>エウクラシア・プログノシスII</t>
  </si>
  <si>
    <t>フィロソフィア</t>
  </si>
  <si>
    <t>モンク</t>
  </si>
  <si>
    <t>牽制lv.100</t>
  </si>
  <si>
    <t>DPS</t>
  </si>
  <si>
    <t>マントラ</t>
  </si>
  <si>
    <t>リーパー</t>
  </si>
  <si>
    <t>アルケインクレスト</t>
  </si>
  <si>
    <t>吟遊詩人</t>
  </si>
  <si>
    <t>トルバドゥールlv.100</t>
  </si>
  <si>
    <t>機工士</t>
  </si>
  <si>
    <t>タクティシャンlv.100</t>
  </si>
  <si>
    <t>踊り子</t>
  </si>
  <si>
    <t>守りのサンバlv.100</t>
  </si>
  <si>
    <t>地神のミンネ</t>
  </si>
  <si>
    <t>ウェポンブレイク</t>
  </si>
  <si>
    <t>癒やしのワルツ</t>
  </si>
  <si>
    <t>癒やしのワルツ(最大)</t>
  </si>
  <si>
    <t>インプロビゼーション</t>
  </si>
  <si>
    <t>インプロビゼーション・フィニッシュ(スタック0)</t>
  </si>
  <si>
    <t>インプロビゼーション・フィニッシュ(スタック1)</t>
  </si>
  <si>
    <t>インプロビゼーション・フィニッシュ(スタック2)</t>
  </si>
  <si>
    <t>インプロビゼーション・フィニッシュ(スタック3)</t>
  </si>
  <si>
    <t>インプロビゼーション・フィニッシュ(スタック4)</t>
  </si>
  <si>
    <t>黒魔道士</t>
  </si>
  <si>
    <t>アドルlv.100</t>
  </si>
  <si>
    <t>赤魔道士</t>
  </si>
  <si>
    <t>バマジク</t>
  </si>
  <si>
    <t>ピクトマンサー</t>
  </si>
  <si>
    <t>テンペラグラッサ</t>
  </si>
  <si>
    <t>Level</t>
  </si>
  <si>
    <t>HP</t>
  </si>
  <si>
    <t>MND(STR)</t>
  </si>
  <si>
    <t>DET</t>
  </si>
  <si>
    <t>SS</t>
  </si>
  <si>
    <t>不屈</t>
  </si>
  <si>
    <t>武器基本性能</t>
  </si>
  <si>
    <t>Lv.MAIN</t>
  </si>
  <si>
    <t>Lv.SUB</t>
  </si>
  <si>
    <t>Lv.DIV</t>
  </si>
  <si>
    <t>Lv.Attribute</t>
  </si>
  <si>
    <t>Trait</t>
  </si>
  <si>
    <t>f(HMP)</t>
  </si>
  <si>
    <t>f(DET)</t>
  </si>
  <si>
    <t>f(TNC)</t>
  </si>
  <si>
    <t>f(WD)</t>
  </si>
  <si>
    <t>f(SPD)</t>
  </si>
  <si>
    <t>※HMD = MND</t>
  </si>
  <si>
    <t>変数</t>
  </si>
  <si>
    <t>計算方法</t>
  </si>
  <si>
    <t>⌊ Potency × f(HMP) × f(DET) ⌋ /100 ⌋ /1000 ⌋</t>
  </si>
  <si>
    <t>⌊ H1 × f(TNC) ⌋ /1000 ⌋ × f(WD) ⌋ /100 ⌋ × Trait ⌋ /100 ⌋</t>
  </si>
  <si>
    <t>H3</t>
  </si>
  <si>
    <t>⌊ H2 × f(CRIT?) ⌋ /1000 ⌋</t>
  </si>
  <si>
    <t>⌊ H3 × rand[97,103] ⌋ /100 ⌋ × buff_1 ⌋ × buff_2 ⌋</t>
  </si>
  <si>
    <t>⌊ 100 × ( HMP – Level Lv, MAIN ) / 268 ⌋ + 100</t>
  </si>
  <si>
    <t>⌊ 140 × ( DET – Level Lv, MAIN )/ Level Lv, DIV + 1000 ⌋</t>
  </si>
  <si>
    <t>⌊ 110 × ( TNC – Level Lv, SUB )/ Level Lv, DIV + 1000 ⌋</t>
  </si>
  <si>
    <t>⌊ ( Level Lv, MAIN × Job Job, Attribute / 1000 ) + WD ⌋</t>
  </si>
  <si>
    <t>⌊ 130 × ( SS – Level Lv, SUB ) / Level Lv, DIV + 1000 ⌋</t>
  </si>
  <si>
    <t>H2_HOT</t>
  </si>
  <si>
    <t>⌊ H1 × f(TNC) ⌋ /1000 ⌋ × f(SPD) ⌋ /1000 ⌋ × f(WD) ⌋ /100 ⌋ × Trait ⌋ /100 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</si>
</sst>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b/>
      <sz val="15.0"/>
      <color rgb="FFFFFFFF"/>
      <name val="Arial"/>
      <scheme val="minor"/>
    </font>
    <font>
      <sz val="15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b/>
      <sz val="6.0"/>
      <color theme="1"/>
      <name val="Arial"/>
      <scheme val="minor"/>
    </font>
    <font>
      <color rgb="FFFF0000"/>
      <name val="Arial"/>
      <scheme val="minor"/>
    </font>
    <font>
      <sz val="9.0"/>
      <color rgb="FFCC4125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535FC1"/>
        <bgColor rgb="FF535FC1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26E7A"/>
        <bgColor rgb="FF626E7A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3" xfId="0" applyFont="1" applyNumberForma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45" xfId="0" applyAlignment="1" applyFont="1" applyNumberFormat="1">
      <alignment readingOrder="0"/>
    </xf>
    <xf borderId="0" fillId="0" fontId="1" numFmtId="3" xfId="0" applyFont="1" applyNumberFormat="1"/>
    <xf borderId="0" fillId="0" fontId="1" numFmtId="3" xfId="0" applyAlignment="1" applyFont="1" applyNumberFormat="1">
      <alignment readingOrder="0"/>
    </xf>
    <xf borderId="0" fillId="2" fontId="1" numFmtId="0" xfId="0" applyFill="1" applyFont="1"/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center" readingOrder="0"/>
    </xf>
    <xf borderId="1" fillId="4" fontId="5" numFmtId="3" xfId="0" applyBorder="1" applyFill="1" applyFont="1" applyNumberFormat="1"/>
    <xf borderId="2" fillId="4" fontId="5" numFmtId="3" xfId="0" applyBorder="1" applyFont="1" applyNumberFormat="1"/>
    <xf borderId="3" fillId="4" fontId="5" numFmtId="3" xfId="0" applyBorder="1" applyFont="1" applyNumberFormat="1"/>
    <xf borderId="0" fillId="2" fontId="3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7" numFmtId="3" xfId="0" applyAlignment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2" fontId="1" numFmtId="20" xfId="0" applyAlignment="1" applyFont="1" applyNumberFormat="1">
      <alignment readingOrder="0"/>
    </xf>
    <xf borderId="0" fillId="2" fontId="1" numFmtId="3" xfId="0" applyAlignment="1" applyFont="1" applyNumberFormat="1">
      <alignment readingOrder="0"/>
    </xf>
    <xf borderId="0" fillId="0" fontId="8" numFmtId="0" xfId="0" applyAlignment="1" applyFont="1">
      <alignment horizontal="left" readingOrder="0" shrinkToFit="0" vertical="center" wrapText="0"/>
    </xf>
    <xf borderId="0" fillId="0" fontId="8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1" numFmtId="3" xfId="0" applyAlignment="1" applyFont="1" applyNumberFormat="1">
      <alignment readingOrder="0" shrinkToFit="0" vertical="center" wrapText="0"/>
    </xf>
    <xf borderId="0" fillId="5" fontId="1" numFmtId="0" xfId="0" applyAlignment="1" applyFont="1">
      <alignment shrinkToFit="0" vertical="center" wrapText="0"/>
    </xf>
    <xf borderId="0" fillId="2" fontId="9" numFmtId="0" xfId="0" applyAlignment="1" applyFont="1">
      <alignment readingOrder="0"/>
    </xf>
    <xf borderId="0" fillId="6" fontId="1" numFmtId="0" xfId="0" applyAlignment="1" applyFill="1" applyFont="1">
      <alignment horizontal="left"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0" numFmtId="0" xfId="0" applyAlignment="1" applyFont="1">
      <alignment horizontal="right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8ED04B"/>
          <bgColor rgb="FF8ED04B"/>
        </patternFill>
      </fill>
      <border/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</dxfs>
  <tableStyles count="8">
    <tableStyle count="3" pivot="0" name="Heal Calc-style">
      <tableStyleElement dxfId="1" type="headerRow"/>
      <tableStyleElement dxfId="2" type="firstRowStripe"/>
      <tableStyleElement dxfId="3" type="secondRowStripe"/>
    </tableStyle>
    <tableStyle count="4" pivot="0" name="Heal Calc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eal Calc-style 3">
      <tableStyleElement dxfId="5" type="headerRow"/>
      <tableStyleElement dxfId="2" type="firstRowStripe"/>
      <tableStyleElement dxfId="2" type="secondRowStripe"/>
      <tableStyleElement dxfId="4" size="0" type="wholeTable"/>
    </tableStyle>
    <tableStyle count="4" pivot="0" name="Skills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Settin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ttings-style 2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2" pivot="0" name="Settings-style 3">
      <tableStyleElement dxfId="2" type="firstRowStripe"/>
      <tableStyleElement dxfId="3" type="secondRowStripe"/>
    </tableStyle>
    <tableStyle count="4" pivot="0" name="Settings-style 4">
      <tableStyleElement dxfId="7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1:E1" displayName="Table_1" name="Table_1" id="1">
  <tableColumns count="3">
    <tableColumn name="Column1" id="1"/>
    <tableColumn name="Column2" id="2"/>
    <tableColumn name="Column3" id="3"/>
  </tableColumns>
  <tableStyleInfo name="Heal Cal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4:F19" displayName="簡易計算" name="簡易計算" id="2">
  <tableColumns count="6">
    <tableColumn name="スキル" id="1"/>
    <tableColumn name="Icon" id="2"/>
    <tableColumn name="着弾回復量" id="3"/>
    <tableColumn name="継続回復(Tick)" id="4"/>
    <tableColumn name="バリア量" id="5"/>
    <tableColumn name="（HoT合計）" id="6"/>
  </tableColumns>
  <tableStyleInfo name="Heal Calc-style 2" showColumnStripes="0" showFirstColumn="1" showLastColumn="1" showRowStripes="1"/>
</table>
</file>

<file path=xl/tables/table3.xml><?xml version="1.0" encoding="utf-8"?>
<table xmlns="http://schemas.openxmlformats.org/spreadsheetml/2006/main" ref="H4:I10" displayName="バフ" name="バフ" id="3">
  <tableColumns count="2">
    <tableColumn name="スキル" id="1"/>
    <tableColumn name="ヒールバフ率" id="2"/>
  </tableColumns>
  <tableStyleInfo name="Heal Calc-style 3" showColumnStripes="0" showFirstColumn="1" showLastColumn="1" showRowStripes="1"/>
</table>
</file>

<file path=xl/tables/table4.xml><?xml version="1.0" encoding="utf-8"?>
<table xmlns="http://schemas.openxmlformats.org/spreadsheetml/2006/main" ref="A1:W92" displayName="Skills" name="Skills" id="4">
  <tableColumns count="23">
    <tableColumn name="Job" id="1"/>
    <tableColumn name="Icon" id="2"/>
    <tableColumn name="Lv" id="3"/>
    <tableColumn name="Action" id="4"/>
    <tableColumn name="Recast" id="5"/>
    <tableColumn name="Charge" id="6"/>
    <tableColumn name="Mitigation" id="7"/>
    <tableColumn name="Duration" id="8"/>
    <tableColumn name="Buff" id="9"/>
    <tableColumn name="Potency" id="10"/>
    <tableColumn name="HoT Potency" id="11"/>
    <tableColumn name="Barrier Potency" id="12"/>
    <tableColumn name="Barrier Duration" id="13"/>
    <tableColumn name="Role" id="14"/>
    <tableColumn name="H1" id="15"/>
    <tableColumn name="H" id="16"/>
    <tableColumn name="HOT_H1" id="17"/>
    <tableColumn name="HOT_H(tick)" id="18"/>
    <tableColumn name="HOT_H" id="19"/>
    <tableColumn name="Barrier_H1" id="20"/>
    <tableColumn name="Barrier_H" id="21"/>
    <tableColumn name="HP_Barrier_Potency" id="22"/>
    <tableColumn name="HP_Barrier_H" id="23"/>
  </tableColumns>
  <tableStyleInfo name="Skills-style" showColumnStripes="0" showFirstColumn="1" showLastColumn="1" showRowStripes="1"/>
</table>
</file>

<file path=xl/tables/table5.xml><?xml version="1.0" encoding="utf-8"?>
<table xmlns="http://schemas.openxmlformats.org/spreadsheetml/2006/main" ref="A1:R4" displayName="Settings" name="Settings" id="5">
  <tableColumns count="18">
    <tableColumn name="Role" id="1"/>
    <tableColumn name="Level" id="2"/>
    <tableColumn name="HP" id="3"/>
    <tableColumn name="MND(STR)" id="4"/>
    <tableColumn name="DET" id="5"/>
    <tableColumn name="SS" id="6"/>
    <tableColumn name="不屈" id="7"/>
    <tableColumn name="武器基本性能" id="8"/>
    <tableColumn name="Lv.MAIN" id="9"/>
    <tableColumn name="Lv.SUB" id="10"/>
    <tableColumn name="Lv.DIV" id="11"/>
    <tableColumn name="Lv.Attribute" id="12"/>
    <tableColumn name="Trait" id="13"/>
    <tableColumn name="f(HMP)" id="14"/>
    <tableColumn name="f(DET)" id="15"/>
    <tableColumn name="f(TNC)" id="16"/>
    <tableColumn name="f(WD)" id="17"/>
    <tableColumn name="f(SPD)" id="18"/>
  </tableColumns>
  <tableStyleInfo name="Settings-style" showColumnStripes="0" showFirstColumn="1" showLastColumn="1" showRowStripes="1"/>
</table>
</file>

<file path=xl/tables/table6.xml><?xml version="1.0" encoding="utf-8"?>
<table xmlns="http://schemas.openxmlformats.org/spreadsheetml/2006/main" ref="A7:E11" displayName="Modifiers" name="Modifiers" id="6">
  <tableColumns count="5">
    <tableColumn name="Level" id="1"/>
    <tableColumn name="Lv.MAIN" id="2"/>
    <tableColumn name="Lv.SUB" id="3"/>
    <tableColumn name="Lv.DIV" id="4"/>
    <tableColumn name="Lv.Attribute" id="5"/>
  </tableColumns>
  <tableStyleInfo name="Settings-style 2" showColumnStripes="0" showFirstColumn="1" showLastColumn="1" showRowStripes="1"/>
</table>
</file>

<file path=xl/tables/table7.xml><?xml version="1.0" encoding="utf-8"?>
<table xmlns="http://schemas.openxmlformats.org/spreadsheetml/2006/main" headerRowCount="0" ref="S8:U9" displayName="Table_2" name="Table_2" id="7">
  <tableColumns count="3">
    <tableColumn name="Column1" id="1"/>
    <tableColumn name="Column2" id="2"/>
    <tableColumn name="Column3" id="3"/>
  </tableColumns>
  <tableStyleInfo name="Settings-style 3" showColumnStripes="0" showFirstColumn="1" showLastColumn="1" showRowStripes="1"/>
</table>
</file>

<file path=xl/tables/table8.xml><?xml version="1.0" encoding="utf-8"?>
<table xmlns="http://schemas.openxmlformats.org/spreadsheetml/2006/main" ref="A15:B25" displayName="Calculation" name="Calculation" id="8">
  <tableColumns count="2">
    <tableColumn name="変数" id="1"/>
    <tableColumn name="計算方法" id="2"/>
  </tableColumns>
  <tableStyleInfo name="Setting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63"/>
    <col customWidth="1" min="3" max="3" width="31.38"/>
  </cols>
  <sheetData>
    <row r="1">
      <c r="A1" s="1"/>
      <c r="B1" s="1"/>
      <c r="C1" s="1"/>
      <c r="D1" s="1"/>
      <c r="E1" s="2" t="s">
        <v>0</v>
      </c>
      <c r="I1" s="2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</row>
    <row r="4">
      <c r="A4" s="1" t="s">
        <v>18</v>
      </c>
      <c r="B4" s="1" t="s">
        <v>19</v>
      </c>
      <c r="C4" s="1" t="s">
        <v>16</v>
      </c>
      <c r="D4" s="1"/>
    </row>
    <row r="5">
      <c r="A5" s="1" t="s">
        <v>20</v>
      </c>
      <c r="B5" s="1" t="s">
        <v>19</v>
      </c>
      <c r="C5" s="1" t="s">
        <v>21</v>
      </c>
      <c r="D5" s="1"/>
    </row>
    <row r="6">
      <c r="A6" s="1" t="s">
        <v>22</v>
      </c>
      <c r="B6" s="1" t="s">
        <v>15</v>
      </c>
      <c r="C6" s="1" t="s">
        <v>23</v>
      </c>
      <c r="D6" s="1" t="s">
        <v>17</v>
      </c>
    </row>
    <row r="7">
      <c r="A7" s="1" t="s">
        <v>24</v>
      </c>
      <c r="B7" s="1" t="s">
        <v>19</v>
      </c>
      <c r="C7" s="1" t="s">
        <v>23</v>
      </c>
      <c r="D7" s="1" t="s">
        <v>17</v>
      </c>
    </row>
    <row r="8">
      <c r="A8" s="1" t="s">
        <v>25</v>
      </c>
      <c r="B8" s="1" t="s">
        <v>15</v>
      </c>
      <c r="C8" s="1" t="s">
        <v>26</v>
      </c>
      <c r="D8" s="1" t="s">
        <v>17</v>
      </c>
    </row>
    <row r="9">
      <c r="A9" s="1" t="s">
        <v>27</v>
      </c>
      <c r="B9" s="1" t="s">
        <v>19</v>
      </c>
      <c r="C9" s="1" t="s">
        <v>26</v>
      </c>
      <c r="D9" s="1"/>
    </row>
    <row r="10">
      <c r="A10" s="1" t="s">
        <v>28</v>
      </c>
      <c r="B10" s="1" t="s">
        <v>15</v>
      </c>
      <c r="C10" s="1" t="s">
        <v>29</v>
      </c>
      <c r="D10" s="1" t="s">
        <v>17</v>
      </c>
    </row>
    <row r="11">
      <c r="A11" s="1" t="s">
        <v>30</v>
      </c>
      <c r="B11" s="1" t="s">
        <v>19</v>
      </c>
      <c r="C11" s="1" t="s">
        <v>29</v>
      </c>
      <c r="D11" s="1" t="s">
        <v>17</v>
      </c>
    </row>
    <row r="12">
      <c r="A12" s="1" t="s">
        <v>31</v>
      </c>
      <c r="B12" s="1" t="s">
        <v>19</v>
      </c>
      <c r="C12" s="1" t="s">
        <v>32</v>
      </c>
      <c r="D12" s="1" t="s">
        <v>33</v>
      </c>
    </row>
    <row r="13">
      <c r="A13" s="1" t="s">
        <v>34</v>
      </c>
      <c r="B13" s="1" t="s">
        <v>15</v>
      </c>
      <c r="C13" s="1" t="s">
        <v>35</v>
      </c>
      <c r="D13" s="1" t="s">
        <v>17</v>
      </c>
    </row>
    <row r="14">
      <c r="A14" s="1" t="s">
        <v>36</v>
      </c>
      <c r="B14" s="1" t="s">
        <v>19</v>
      </c>
      <c r="C14" s="1" t="s">
        <v>35</v>
      </c>
      <c r="D14" s="1" t="s">
        <v>17</v>
      </c>
    </row>
    <row r="15">
      <c r="A15" s="1" t="s">
        <v>37</v>
      </c>
      <c r="B15" s="1" t="s">
        <v>15</v>
      </c>
      <c r="C15" s="1" t="s">
        <v>23</v>
      </c>
      <c r="D15" s="1" t="s">
        <v>17</v>
      </c>
    </row>
    <row r="16">
      <c r="A16" s="1" t="s">
        <v>38</v>
      </c>
      <c r="B16" s="1" t="s">
        <v>19</v>
      </c>
      <c r="C16" s="1" t="s">
        <v>23</v>
      </c>
      <c r="D16" s="1" t="s">
        <v>17</v>
      </c>
    </row>
    <row r="17">
      <c r="A17" s="1" t="s">
        <v>39</v>
      </c>
      <c r="B17" s="1" t="s">
        <v>15</v>
      </c>
      <c r="C17" s="1" t="s">
        <v>40</v>
      </c>
      <c r="D17" s="1" t="s">
        <v>17</v>
      </c>
    </row>
    <row r="18">
      <c r="A18" s="1" t="s">
        <v>41</v>
      </c>
      <c r="B18" s="1" t="s">
        <v>19</v>
      </c>
      <c r="C18" s="1" t="s">
        <v>40</v>
      </c>
      <c r="D18" s="1" t="s">
        <v>17</v>
      </c>
    </row>
    <row r="19">
      <c r="A19" s="1" t="s">
        <v>42</v>
      </c>
      <c r="B19" s="1" t="s">
        <v>19</v>
      </c>
      <c r="C19" s="1" t="s">
        <v>43</v>
      </c>
      <c r="D19" s="1"/>
    </row>
    <row r="20">
      <c r="A20" s="1" t="s">
        <v>44</v>
      </c>
      <c r="B20" s="1" t="s">
        <v>19</v>
      </c>
      <c r="C20" s="1" t="s">
        <v>45</v>
      </c>
      <c r="D20" s="1" t="s">
        <v>17</v>
      </c>
    </row>
    <row r="21">
      <c r="A21" s="1" t="s">
        <v>46</v>
      </c>
      <c r="B21" s="1" t="s">
        <v>15</v>
      </c>
      <c r="C21" s="1" t="s">
        <v>26</v>
      </c>
      <c r="D21" s="1" t="s">
        <v>17</v>
      </c>
    </row>
    <row r="22">
      <c r="A22" s="1" t="s">
        <v>47</v>
      </c>
      <c r="B22" s="1" t="s">
        <v>19</v>
      </c>
      <c r="C22" s="1" t="s">
        <v>26</v>
      </c>
      <c r="D22" s="1"/>
    </row>
    <row r="23">
      <c r="A23" s="1" t="s">
        <v>48</v>
      </c>
      <c r="B23" s="1" t="s">
        <v>15</v>
      </c>
      <c r="C23" s="1" t="s">
        <v>49</v>
      </c>
      <c r="D23" s="1" t="s">
        <v>17</v>
      </c>
    </row>
    <row r="24">
      <c r="A24" s="1" t="s">
        <v>50</v>
      </c>
      <c r="B24" s="1" t="s">
        <v>19</v>
      </c>
      <c r="C24" s="1" t="s">
        <v>49</v>
      </c>
      <c r="D24" s="1" t="s">
        <v>17</v>
      </c>
    </row>
    <row r="25">
      <c r="A25" s="1" t="s">
        <v>51</v>
      </c>
      <c r="B25" s="1" t="s">
        <v>15</v>
      </c>
      <c r="C25" s="1" t="s">
        <v>52</v>
      </c>
      <c r="D25" s="1" t="s">
        <v>17</v>
      </c>
    </row>
    <row r="26">
      <c r="A26" s="1" t="s">
        <v>53</v>
      </c>
      <c r="B26" s="1" t="s">
        <v>19</v>
      </c>
      <c r="C26" s="1" t="s">
        <v>52</v>
      </c>
      <c r="D26" s="1" t="s">
        <v>17</v>
      </c>
    </row>
    <row r="27">
      <c r="A27" s="1" t="s">
        <v>54</v>
      </c>
      <c r="B27" s="1" t="s">
        <v>19</v>
      </c>
      <c r="C27" s="1" t="s">
        <v>21</v>
      </c>
      <c r="D27" s="1"/>
    </row>
    <row r="28">
      <c r="A28" s="1" t="s">
        <v>55</v>
      </c>
      <c r="B28" s="1" t="s">
        <v>15</v>
      </c>
      <c r="C28" s="1" t="s">
        <v>56</v>
      </c>
      <c r="D28" s="1" t="s">
        <v>17</v>
      </c>
    </row>
    <row r="29">
      <c r="A29" s="1" t="s">
        <v>57</v>
      </c>
      <c r="B29" s="1" t="s">
        <v>19</v>
      </c>
      <c r="C29" s="1" t="s">
        <v>56</v>
      </c>
      <c r="D29" s="1" t="s">
        <v>17</v>
      </c>
    </row>
    <row r="30">
      <c r="A30" s="1" t="s">
        <v>58</v>
      </c>
      <c r="B30" s="1" t="s">
        <v>15</v>
      </c>
      <c r="C30" s="1" t="s">
        <v>59</v>
      </c>
      <c r="D30" s="1" t="s">
        <v>17</v>
      </c>
    </row>
    <row r="31">
      <c r="A31" s="1" t="s">
        <v>60</v>
      </c>
      <c r="B31" s="1" t="s">
        <v>19</v>
      </c>
      <c r="C31" s="1" t="s">
        <v>59</v>
      </c>
      <c r="D31" s="1" t="s">
        <v>17</v>
      </c>
    </row>
    <row r="32">
      <c r="A32" s="1" t="s">
        <v>61</v>
      </c>
      <c r="B32" s="1" t="s">
        <v>15</v>
      </c>
      <c r="C32" s="1" t="s">
        <v>62</v>
      </c>
      <c r="D32" s="1" t="s">
        <v>17</v>
      </c>
    </row>
    <row r="33">
      <c r="A33" s="1" t="s">
        <v>63</v>
      </c>
      <c r="B33" s="1" t="s">
        <v>19</v>
      </c>
      <c r="C33" s="1" t="s">
        <v>62</v>
      </c>
      <c r="D33" s="1" t="s">
        <v>17</v>
      </c>
    </row>
    <row r="34">
      <c r="A34" s="1" t="s">
        <v>64</v>
      </c>
      <c r="B34" s="1" t="s">
        <v>15</v>
      </c>
      <c r="C34" s="1" t="s">
        <v>65</v>
      </c>
      <c r="D34" s="1" t="s">
        <v>17</v>
      </c>
    </row>
    <row r="35">
      <c r="A35" s="1" t="s">
        <v>66</v>
      </c>
      <c r="B35" s="1" t="s">
        <v>19</v>
      </c>
      <c r="C35" s="1" t="s">
        <v>65</v>
      </c>
      <c r="D35" s="1" t="s">
        <v>17</v>
      </c>
    </row>
    <row r="36">
      <c r="A36" s="1" t="s">
        <v>67</v>
      </c>
      <c r="B36" s="1" t="s">
        <v>15</v>
      </c>
      <c r="C36" s="1" t="s">
        <v>16</v>
      </c>
      <c r="D36" s="1" t="s">
        <v>17</v>
      </c>
    </row>
    <row r="37">
      <c r="A37" s="1" t="s">
        <v>68</v>
      </c>
      <c r="B37" s="1" t="s">
        <v>19</v>
      </c>
      <c r="C37" s="1" t="s">
        <v>16</v>
      </c>
      <c r="D37" s="1"/>
    </row>
    <row r="38">
      <c r="A38" s="1" t="s">
        <v>69</v>
      </c>
      <c r="B38" s="1" t="s">
        <v>15</v>
      </c>
      <c r="C38" s="1" t="s">
        <v>29</v>
      </c>
      <c r="D38" s="1" t="s">
        <v>17</v>
      </c>
    </row>
    <row r="39">
      <c r="A39" s="1" t="s">
        <v>70</v>
      </c>
      <c r="B39" s="1" t="s">
        <v>19</v>
      </c>
      <c r="C39" s="1" t="s">
        <v>29</v>
      </c>
      <c r="D39" s="1" t="s">
        <v>17</v>
      </c>
    </row>
    <row r="40">
      <c r="A40" s="1" t="s">
        <v>71</v>
      </c>
      <c r="B40" s="1" t="s">
        <v>19</v>
      </c>
      <c r="C40" s="1" t="s">
        <v>32</v>
      </c>
      <c r="D40" s="1" t="s">
        <v>72</v>
      </c>
    </row>
    <row r="41">
      <c r="A41" s="1" t="s">
        <v>73</v>
      </c>
      <c r="B41" s="1" t="s">
        <v>19</v>
      </c>
      <c r="C41" s="1" t="s">
        <v>21</v>
      </c>
      <c r="D41" s="1"/>
    </row>
    <row r="42">
      <c r="A42" s="1" t="s">
        <v>74</v>
      </c>
      <c r="B42" s="1" t="s">
        <v>15</v>
      </c>
      <c r="C42" s="1" t="s">
        <v>75</v>
      </c>
      <c r="D42" s="1" t="s">
        <v>17</v>
      </c>
    </row>
    <row r="43">
      <c r="A43" s="1" t="s">
        <v>76</v>
      </c>
      <c r="B43" s="1" t="s">
        <v>19</v>
      </c>
      <c r="C43" s="1" t="s">
        <v>75</v>
      </c>
      <c r="D43" s="1"/>
    </row>
    <row r="44">
      <c r="A44" s="1" t="s">
        <v>77</v>
      </c>
      <c r="B44" s="1" t="s">
        <v>15</v>
      </c>
      <c r="C44" s="1" t="s">
        <v>35</v>
      </c>
      <c r="D44" s="1" t="s">
        <v>17</v>
      </c>
    </row>
    <row r="45">
      <c r="A45" s="1" t="s">
        <v>78</v>
      </c>
      <c r="B45" s="1" t="s">
        <v>19</v>
      </c>
      <c r="C45" s="1" t="s">
        <v>35</v>
      </c>
      <c r="D45" s="1" t="s">
        <v>17</v>
      </c>
    </row>
    <row r="46">
      <c r="A46" s="1" t="s">
        <v>79</v>
      </c>
      <c r="B46" s="1" t="s">
        <v>15</v>
      </c>
      <c r="C46" s="1" t="s">
        <v>80</v>
      </c>
      <c r="D46" s="1" t="s">
        <v>17</v>
      </c>
    </row>
    <row r="47">
      <c r="A47" s="1" t="s">
        <v>81</v>
      </c>
      <c r="B47" s="1" t="s">
        <v>19</v>
      </c>
      <c r="C47" s="1" t="s">
        <v>80</v>
      </c>
      <c r="D47" s="1" t="s">
        <v>17</v>
      </c>
    </row>
    <row r="48">
      <c r="A48" s="1" t="s">
        <v>82</v>
      </c>
      <c r="B48" s="1" t="s">
        <v>15</v>
      </c>
      <c r="C48" s="1" t="s">
        <v>23</v>
      </c>
      <c r="D48" s="1" t="s">
        <v>17</v>
      </c>
    </row>
    <row r="49">
      <c r="A49" s="1" t="s">
        <v>83</v>
      </c>
      <c r="B49" s="1" t="s">
        <v>19</v>
      </c>
      <c r="C49" s="1" t="s">
        <v>23</v>
      </c>
      <c r="D49" s="1" t="s">
        <v>17</v>
      </c>
    </row>
    <row r="50">
      <c r="A50" s="1" t="s">
        <v>84</v>
      </c>
      <c r="B50" s="1" t="s">
        <v>15</v>
      </c>
      <c r="C50" s="1" t="s">
        <v>80</v>
      </c>
      <c r="D50" s="1" t="s">
        <v>17</v>
      </c>
    </row>
    <row r="51">
      <c r="A51" s="1" t="s">
        <v>85</v>
      </c>
      <c r="B51" s="1" t="s">
        <v>19</v>
      </c>
      <c r="C51" s="1" t="s">
        <v>80</v>
      </c>
      <c r="D51" s="1" t="s">
        <v>17</v>
      </c>
    </row>
    <row r="52">
      <c r="A52" s="1" t="s">
        <v>86</v>
      </c>
      <c r="B52" s="1" t="s">
        <v>15</v>
      </c>
      <c r="C52" s="1" t="s">
        <v>23</v>
      </c>
      <c r="D52" s="1" t="s">
        <v>17</v>
      </c>
    </row>
    <row r="53">
      <c r="A53" s="1" t="s">
        <v>87</v>
      </c>
      <c r="B53" s="1" t="s">
        <v>19</v>
      </c>
      <c r="C53" s="1" t="s">
        <v>23</v>
      </c>
      <c r="D53" s="1" t="s">
        <v>17</v>
      </c>
    </row>
    <row r="54">
      <c r="A54" s="1" t="s">
        <v>88</v>
      </c>
      <c r="B54" s="1" t="s">
        <v>15</v>
      </c>
      <c r="C54" s="1" t="s">
        <v>80</v>
      </c>
      <c r="D54" s="1" t="s">
        <v>17</v>
      </c>
    </row>
    <row r="55">
      <c r="A55" s="1" t="s">
        <v>89</v>
      </c>
      <c r="B55" s="1" t="s">
        <v>19</v>
      </c>
      <c r="C55" s="1" t="s">
        <v>80</v>
      </c>
      <c r="D55" s="1" t="s">
        <v>17</v>
      </c>
    </row>
    <row r="56">
      <c r="A56" s="1" t="s">
        <v>90</v>
      </c>
      <c r="B56" s="1" t="s">
        <v>15</v>
      </c>
      <c r="C56" s="1" t="s">
        <v>91</v>
      </c>
      <c r="D56" s="1" t="s">
        <v>17</v>
      </c>
    </row>
    <row r="57">
      <c r="A57" s="1" t="s">
        <v>92</v>
      </c>
      <c r="B57" s="1" t="s">
        <v>19</v>
      </c>
      <c r="C57" s="1" t="s">
        <v>91</v>
      </c>
      <c r="D57" s="1"/>
    </row>
    <row r="58">
      <c r="A58" s="1" t="s">
        <v>93</v>
      </c>
      <c r="B58" s="1" t="s">
        <v>15</v>
      </c>
      <c r="C58" s="1" t="s">
        <v>94</v>
      </c>
      <c r="D58" s="1" t="s">
        <v>17</v>
      </c>
    </row>
    <row r="59">
      <c r="A59" s="1" t="s">
        <v>95</v>
      </c>
      <c r="B59" s="1" t="s">
        <v>19</v>
      </c>
      <c r="C59" s="1" t="s">
        <v>94</v>
      </c>
      <c r="D59" s="1" t="s">
        <v>17</v>
      </c>
    </row>
    <row r="60">
      <c r="A60" s="1" t="s">
        <v>96</v>
      </c>
      <c r="B60" s="1" t="s">
        <v>15</v>
      </c>
      <c r="C60" s="1" t="s">
        <v>97</v>
      </c>
      <c r="D60" s="1" t="s">
        <v>17</v>
      </c>
    </row>
    <row r="61">
      <c r="A61" s="1" t="s">
        <v>98</v>
      </c>
      <c r="B61" s="1" t="s">
        <v>19</v>
      </c>
      <c r="C61" s="1" t="s">
        <v>97</v>
      </c>
      <c r="D61" s="1" t="s">
        <v>17</v>
      </c>
    </row>
    <row r="62">
      <c r="A62" s="1" t="s">
        <v>99</v>
      </c>
      <c r="B62" s="1" t="s">
        <v>15</v>
      </c>
      <c r="C62" s="1" t="s">
        <v>80</v>
      </c>
      <c r="D62" s="1" t="s">
        <v>17</v>
      </c>
    </row>
    <row r="63">
      <c r="A63" s="1" t="s">
        <v>100</v>
      </c>
      <c r="B63" s="1" t="s">
        <v>19</v>
      </c>
      <c r="C63" s="1" t="s">
        <v>80</v>
      </c>
      <c r="D63" s="1" t="s">
        <v>17</v>
      </c>
    </row>
    <row r="64">
      <c r="A64" s="1" t="s">
        <v>101</v>
      </c>
      <c r="B64" s="1" t="s">
        <v>15</v>
      </c>
      <c r="C64" s="1" t="s">
        <v>80</v>
      </c>
      <c r="D64" s="1" t="s">
        <v>17</v>
      </c>
    </row>
    <row r="65">
      <c r="A65" s="1" t="s">
        <v>102</v>
      </c>
      <c r="B65" s="1" t="s">
        <v>19</v>
      </c>
      <c r="C65" s="1" t="s">
        <v>80</v>
      </c>
      <c r="D65" s="1" t="s">
        <v>17</v>
      </c>
    </row>
    <row r="66">
      <c r="A66" s="1" t="s">
        <v>103</v>
      </c>
      <c r="B66" s="1" t="s">
        <v>15</v>
      </c>
      <c r="C66" s="1" t="s">
        <v>104</v>
      </c>
      <c r="D66" s="1" t="s">
        <v>17</v>
      </c>
    </row>
    <row r="67">
      <c r="A67" s="1" t="s">
        <v>105</v>
      </c>
      <c r="B67" s="1" t="s">
        <v>19</v>
      </c>
      <c r="C67" s="1" t="s">
        <v>104</v>
      </c>
      <c r="D67" s="1" t="s">
        <v>17</v>
      </c>
    </row>
    <row r="68">
      <c r="A68" s="1" t="s">
        <v>106</v>
      </c>
      <c r="B68" s="1" t="s">
        <v>15</v>
      </c>
      <c r="C68" s="1" t="s">
        <v>80</v>
      </c>
      <c r="D68" s="1" t="s">
        <v>17</v>
      </c>
    </row>
    <row r="69">
      <c r="A69" s="1" t="s">
        <v>107</v>
      </c>
      <c r="B69" s="1" t="s">
        <v>19</v>
      </c>
      <c r="C69" s="1" t="s">
        <v>80</v>
      </c>
      <c r="D69" s="1" t="s">
        <v>17</v>
      </c>
    </row>
    <row r="70">
      <c r="A70" s="1" t="s">
        <v>108</v>
      </c>
      <c r="B70" s="1" t="s">
        <v>15</v>
      </c>
      <c r="C70" s="1" t="s">
        <v>49</v>
      </c>
      <c r="D70" s="1" t="s">
        <v>17</v>
      </c>
    </row>
    <row r="71">
      <c r="A71" s="1" t="s">
        <v>109</v>
      </c>
      <c r="B71" s="1" t="s">
        <v>19</v>
      </c>
      <c r="C71" s="1" t="s">
        <v>49</v>
      </c>
      <c r="D71" s="1" t="s">
        <v>17</v>
      </c>
    </row>
    <row r="72">
      <c r="A72" s="1" t="s">
        <v>110</v>
      </c>
      <c r="B72" s="1" t="s">
        <v>15</v>
      </c>
      <c r="C72" s="1" t="s">
        <v>80</v>
      </c>
      <c r="D72" s="1" t="s">
        <v>17</v>
      </c>
    </row>
    <row r="73">
      <c r="A73" s="1" t="s">
        <v>111</v>
      </c>
      <c r="B73" s="1" t="s">
        <v>19</v>
      </c>
      <c r="C73" s="1" t="s">
        <v>80</v>
      </c>
      <c r="D73" s="1" t="s">
        <v>17</v>
      </c>
    </row>
    <row r="74">
      <c r="A74" s="1" t="s">
        <v>112</v>
      </c>
      <c r="B74" s="1" t="s">
        <v>15</v>
      </c>
      <c r="C74" s="1" t="s">
        <v>80</v>
      </c>
      <c r="D74" s="1" t="s">
        <v>17</v>
      </c>
    </row>
    <row r="75">
      <c r="A75" s="1" t="s">
        <v>113</v>
      </c>
      <c r="B75" s="1" t="s">
        <v>19</v>
      </c>
      <c r="C75" s="1" t="s">
        <v>80</v>
      </c>
      <c r="D75" s="1" t="s">
        <v>17</v>
      </c>
    </row>
    <row r="76">
      <c r="A76" s="1" t="s">
        <v>114</v>
      </c>
      <c r="B76" s="1" t="s">
        <v>15</v>
      </c>
      <c r="C76" s="1" t="s">
        <v>75</v>
      </c>
      <c r="D76" s="1" t="s">
        <v>17</v>
      </c>
    </row>
    <row r="77">
      <c r="A77" s="1" t="s">
        <v>115</v>
      </c>
      <c r="B77" s="1" t="s">
        <v>19</v>
      </c>
      <c r="C77" s="1" t="s">
        <v>75</v>
      </c>
      <c r="D77" s="1"/>
    </row>
    <row r="78">
      <c r="A78" s="1" t="s">
        <v>116</v>
      </c>
      <c r="B78" s="1" t="s">
        <v>15</v>
      </c>
      <c r="C78" s="1" t="s">
        <v>29</v>
      </c>
      <c r="D78" s="1" t="s">
        <v>17</v>
      </c>
    </row>
    <row r="79">
      <c r="A79" s="1" t="s">
        <v>117</v>
      </c>
      <c r="B79" s="1" t="s">
        <v>19</v>
      </c>
      <c r="C79" s="1" t="s">
        <v>29</v>
      </c>
      <c r="D79" s="1" t="s">
        <v>17</v>
      </c>
    </row>
    <row r="80">
      <c r="A80" s="1" t="s">
        <v>118</v>
      </c>
      <c r="B80" s="1" t="s">
        <v>19</v>
      </c>
      <c r="C80" s="1" t="s">
        <v>32</v>
      </c>
      <c r="D80" s="1" t="s">
        <v>33</v>
      </c>
    </row>
    <row r="81">
      <c r="A81" s="1" t="s">
        <v>119</v>
      </c>
      <c r="B81" s="1" t="s">
        <v>15</v>
      </c>
      <c r="C81" s="1" t="s">
        <v>120</v>
      </c>
      <c r="D81" s="1" t="s">
        <v>17</v>
      </c>
    </row>
    <row r="82">
      <c r="A82" s="1" t="s">
        <v>121</v>
      </c>
      <c r="B82" s="1" t="s">
        <v>19</v>
      </c>
      <c r="C82" s="1" t="s">
        <v>120</v>
      </c>
      <c r="D82" s="1" t="s">
        <v>17</v>
      </c>
    </row>
    <row r="83">
      <c r="A83" s="1" t="s">
        <v>122</v>
      </c>
      <c r="B83" s="1" t="s">
        <v>15</v>
      </c>
      <c r="C83" s="1" t="s">
        <v>123</v>
      </c>
      <c r="D83" s="1" t="s">
        <v>17</v>
      </c>
    </row>
    <row r="84">
      <c r="A84" s="1" t="s">
        <v>124</v>
      </c>
      <c r="B84" s="1" t="s">
        <v>19</v>
      </c>
      <c r="C84" s="1" t="s">
        <v>123</v>
      </c>
      <c r="D84" s="1"/>
    </row>
    <row r="85">
      <c r="A85" s="1" t="s">
        <v>125</v>
      </c>
      <c r="B85" s="1" t="s">
        <v>15</v>
      </c>
      <c r="C85" s="1" t="s">
        <v>123</v>
      </c>
      <c r="D85" s="1" t="s">
        <v>17</v>
      </c>
    </row>
    <row r="86">
      <c r="A86" s="1" t="s">
        <v>126</v>
      </c>
      <c r="B86" s="1" t="s">
        <v>19</v>
      </c>
      <c r="C86" s="1" t="s">
        <v>123</v>
      </c>
      <c r="D86" s="1"/>
    </row>
    <row r="87">
      <c r="A87" s="1"/>
      <c r="B87" s="1"/>
    </row>
    <row r="88">
      <c r="A88" s="1"/>
      <c r="B88" s="1"/>
    </row>
    <row r="89">
      <c r="A89" s="1"/>
      <c r="B89" s="1"/>
    </row>
    <row r="90">
      <c r="A90" s="1"/>
      <c r="B90" s="1"/>
    </row>
    <row r="91">
      <c r="A91" s="1"/>
      <c r="B91" s="1"/>
    </row>
    <row r="92">
      <c r="A92" s="1"/>
      <c r="B92" s="1"/>
    </row>
    <row r="93">
      <c r="A93" s="1"/>
      <c r="B93" s="1"/>
    </row>
    <row r="94">
      <c r="A94" s="1"/>
      <c r="B94" s="1"/>
    </row>
    <row r="95">
      <c r="A95" s="1"/>
      <c r="B95" s="1"/>
    </row>
    <row r="96">
      <c r="A96" s="1"/>
      <c r="B96" s="1"/>
    </row>
    <row r="97">
      <c r="A97" s="1"/>
      <c r="B97" s="1"/>
    </row>
    <row r="98">
      <c r="A98" s="1"/>
      <c r="B98" s="1"/>
    </row>
    <row r="99">
      <c r="A99" s="1"/>
      <c r="B99" s="1"/>
    </row>
    <row r="100">
      <c r="A100" s="1"/>
      <c r="B100" s="1"/>
    </row>
    <row r="101">
      <c r="A101" s="1"/>
      <c r="B101" s="1"/>
    </row>
    <row r="102">
      <c r="A102" s="1"/>
      <c r="B102" s="1"/>
    </row>
    <row r="103">
      <c r="A103" s="1"/>
      <c r="B103" s="1"/>
    </row>
    <row r="104">
      <c r="A104" s="1"/>
      <c r="B104" s="1"/>
    </row>
    <row r="105">
      <c r="A105" s="1"/>
      <c r="B105" s="1"/>
    </row>
    <row r="106">
      <c r="A106" s="1"/>
      <c r="B106" s="1"/>
    </row>
    <row r="107">
      <c r="A107" s="1"/>
      <c r="B107" s="1"/>
    </row>
    <row r="108">
      <c r="A108" s="1"/>
      <c r="B108" s="1"/>
    </row>
    <row r="109">
      <c r="A109" s="1"/>
      <c r="B109" s="1"/>
    </row>
    <row r="110">
      <c r="A110" s="1"/>
      <c r="B110" s="1"/>
    </row>
    <row r="111">
      <c r="A111" s="1"/>
      <c r="B111" s="1"/>
    </row>
    <row r="112">
      <c r="A112" s="1"/>
      <c r="B112" s="1"/>
    </row>
    <row r="113">
      <c r="A113" s="1"/>
      <c r="B113" s="1"/>
    </row>
    <row r="114">
      <c r="A114" s="1"/>
      <c r="B114" s="1"/>
    </row>
    <row r="115">
      <c r="A115" s="1"/>
      <c r="B115" s="1"/>
    </row>
    <row r="116">
      <c r="A116" s="1"/>
      <c r="B116" s="1"/>
    </row>
    <row r="117">
      <c r="A117" s="1"/>
      <c r="B117" s="1"/>
    </row>
    <row r="118">
      <c r="A118" s="1"/>
      <c r="B118" s="1"/>
    </row>
    <row r="119">
      <c r="A119" s="1"/>
      <c r="B119" s="1"/>
    </row>
    <row r="120">
      <c r="A120" s="1"/>
      <c r="B120" s="1"/>
    </row>
    <row r="121">
      <c r="A121" s="1"/>
      <c r="B121" s="1"/>
    </row>
    <row r="122">
      <c r="A122" s="1"/>
      <c r="B122" s="1"/>
    </row>
    <row r="123">
      <c r="A123" s="1"/>
      <c r="B123" s="1"/>
    </row>
    <row r="124">
      <c r="A124" s="1"/>
      <c r="B124" s="1"/>
    </row>
    <row r="125">
      <c r="A125" s="1"/>
      <c r="B125" s="1"/>
    </row>
    <row r="126">
      <c r="A126" s="1"/>
      <c r="B126" s="1"/>
    </row>
    <row r="127">
      <c r="A127" s="1"/>
      <c r="B127" s="1"/>
    </row>
    <row r="128">
      <c r="A128" s="1"/>
      <c r="B128" s="1"/>
    </row>
    <row r="129">
      <c r="A129" s="1"/>
      <c r="B129" s="1"/>
    </row>
    <row r="130">
      <c r="A130" s="1"/>
      <c r="B130" s="1"/>
    </row>
    <row r="131">
      <c r="A131" s="1"/>
      <c r="B131" s="1"/>
    </row>
    <row r="132">
      <c r="A132" s="1"/>
      <c r="B132" s="1"/>
    </row>
    <row r="133">
      <c r="A133" s="1"/>
      <c r="B133" s="1"/>
    </row>
    <row r="134">
      <c r="A134" s="1"/>
      <c r="B134" s="1"/>
    </row>
    <row r="135">
      <c r="A135" s="1"/>
      <c r="B135" s="1"/>
    </row>
    <row r="136">
      <c r="A136" s="1"/>
      <c r="B136" s="1"/>
    </row>
    <row r="137">
      <c r="A137" s="1"/>
      <c r="B137" s="1"/>
    </row>
    <row r="138">
      <c r="A138" s="1"/>
      <c r="B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/>
      <c r="B143" s="1"/>
    </row>
    <row r="144">
      <c r="A144" s="1"/>
      <c r="B144" s="1"/>
    </row>
    <row r="145">
      <c r="A145" s="1"/>
      <c r="B145" s="1"/>
    </row>
    <row r="146">
      <c r="A146" s="1"/>
      <c r="B146" s="1"/>
    </row>
    <row r="147">
      <c r="A147" s="1"/>
      <c r="B147" s="1"/>
    </row>
    <row r="148">
      <c r="A148" s="1"/>
      <c r="B148" s="1"/>
    </row>
    <row r="149">
      <c r="A149" s="1"/>
      <c r="B149" s="1"/>
    </row>
    <row r="150">
      <c r="A150" s="1"/>
      <c r="B150" s="1"/>
    </row>
    <row r="151">
      <c r="A151" s="1"/>
      <c r="B151" s="1"/>
    </row>
    <row r="152">
      <c r="A152" s="1"/>
      <c r="B152" s="1"/>
    </row>
    <row r="153">
      <c r="A153" s="1"/>
      <c r="B153" s="1"/>
    </row>
    <row r="154">
      <c r="A154" s="1"/>
      <c r="B154" s="1"/>
    </row>
    <row r="155">
      <c r="A155" s="1"/>
      <c r="B155" s="1"/>
    </row>
    <row r="156">
      <c r="A156" s="1"/>
      <c r="B156" s="1"/>
    </row>
    <row r="157">
      <c r="A157" s="1"/>
      <c r="B157" s="1"/>
    </row>
    <row r="158">
      <c r="A158" s="1"/>
      <c r="B158" s="1"/>
    </row>
    <row r="159">
      <c r="A159" s="1"/>
      <c r="B159" s="1"/>
    </row>
    <row r="160">
      <c r="A160" s="1"/>
      <c r="B160" s="1"/>
    </row>
    <row r="161">
      <c r="A161" s="1"/>
      <c r="B161" s="1"/>
    </row>
    <row r="162">
      <c r="A162" s="1"/>
      <c r="B162" s="1"/>
    </row>
    <row r="163">
      <c r="A163" s="1"/>
      <c r="B163" s="1"/>
    </row>
    <row r="164">
      <c r="A164" s="1"/>
      <c r="B164" s="1"/>
    </row>
    <row r="165">
      <c r="A165" s="1"/>
      <c r="B165" s="1"/>
    </row>
    <row r="166">
      <c r="A166" s="1"/>
      <c r="B166" s="1"/>
    </row>
    <row r="167">
      <c r="A167" s="1"/>
      <c r="B167" s="1"/>
    </row>
    <row r="168">
      <c r="A168" s="1"/>
      <c r="B168" s="1"/>
    </row>
    <row r="169">
      <c r="A169" s="1"/>
      <c r="B169" s="1"/>
    </row>
    <row r="170">
      <c r="A170" s="1"/>
      <c r="B170" s="1"/>
    </row>
    <row r="171">
      <c r="A171" s="1"/>
      <c r="B171" s="1"/>
    </row>
    <row r="172">
      <c r="A172" s="1"/>
      <c r="B172" s="1"/>
    </row>
    <row r="173">
      <c r="A173" s="1"/>
      <c r="B173" s="1"/>
    </row>
    <row r="174">
      <c r="A174" s="1"/>
      <c r="B174" s="1"/>
    </row>
    <row r="175">
      <c r="A175" s="1"/>
      <c r="B175" s="1"/>
    </row>
    <row r="176">
      <c r="A176" s="1"/>
      <c r="B176" s="1"/>
    </row>
    <row r="177">
      <c r="A177" s="1"/>
      <c r="B177" s="1"/>
    </row>
    <row r="178">
      <c r="A178" s="1"/>
      <c r="B178" s="1"/>
    </row>
    <row r="179">
      <c r="A179" s="1"/>
      <c r="B179" s="1"/>
    </row>
    <row r="180">
      <c r="A180" s="1"/>
      <c r="B180" s="1"/>
    </row>
    <row r="181">
      <c r="A181" s="1"/>
      <c r="B181" s="1"/>
    </row>
    <row r="182">
      <c r="A182" s="1"/>
      <c r="B182" s="1"/>
    </row>
    <row r="183">
      <c r="A183" s="1"/>
      <c r="B183" s="1"/>
    </row>
    <row r="184">
      <c r="A184" s="1"/>
      <c r="B184" s="1"/>
    </row>
    <row r="185">
      <c r="A185" s="1"/>
      <c r="B185" s="1"/>
    </row>
    <row r="186">
      <c r="A186" s="1"/>
      <c r="B186" s="1"/>
    </row>
    <row r="187">
      <c r="A187" s="1"/>
      <c r="B187" s="1"/>
    </row>
    <row r="188">
      <c r="A188" s="1"/>
      <c r="B188" s="1"/>
    </row>
    <row r="189">
      <c r="A189" s="1"/>
      <c r="B189" s="1"/>
    </row>
    <row r="190">
      <c r="A190" s="1"/>
      <c r="B190" s="1"/>
    </row>
    <row r="191">
      <c r="A191" s="1"/>
      <c r="B191" s="1"/>
    </row>
    <row r="192">
      <c r="A192" s="1"/>
      <c r="B192" s="1"/>
    </row>
    <row r="193">
      <c r="A193" s="1"/>
      <c r="B193" s="1"/>
    </row>
    <row r="194">
      <c r="A194" s="1"/>
      <c r="B194" s="1"/>
    </row>
    <row r="195">
      <c r="A195" s="1"/>
      <c r="B195" s="1"/>
    </row>
    <row r="196">
      <c r="A196" s="1"/>
      <c r="B196" s="1"/>
    </row>
    <row r="197">
      <c r="A197" s="1"/>
      <c r="B197" s="1"/>
    </row>
    <row r="198">
      <c r="A198" s="1"/>
      <c r="B198" s="1"/>
    </row>
    <row r="199">
      <c r="A199" s="1"/>
      <c r="B199" s="1"/>
    </row>
    <row r="200">
      <c r="A200" s="1"/>
      <c r="B200" s="1"/>
    </row>
    <row r="201">
      <c r="A201" s="1"/>
      <c r="B201" s="1"/>
    </row>
    <row r="202">
      <c r="A202" s="1"/>
      <c r="B202" s="1"/>
    </row>
    <row r="203">
      <c r="A203" s="1"/>
      <c r="B203" s="1"/>
    </row>
    <row r="204">
      <c r="A204" s="1"/>
      <c r="B204" s="1"/>
    </row>
    <row r="205">
      <c r="A205" s="1"/>
      <c r="B205" s="1"/>
    </row>
    <row r="206">
      <c r="A206" s="1"/>
      <c r="B206" s="1"/>
    </row>
    <row r="207">
      <c r="A207" s="1"/>
      <c r="B207" s="1"/>
    </row>
    <row r="208">
      <c r="A208" s="1"/>
      <c r="B208" s="1"/>
    </row>
    <row r="209">
      <c r="A209" s="1"/>
      <c r="B209" s="1"/>
    </row>
    <row r="210">
      <c r="A210" s="1"/>
      <c r="B210" s="1"/>
    </row>
    <row r="211">
      <c r="A211" s="1"/>
      <c r="B211" s="1"/>
    </row>
    <row r="212">
      <c r="A212" s="1"/>
      <c r="B212" s="1"/>
    </row>
    <row r="213">
      <c r="A213" s="1"/>
      <c r="B213" s="1"/>
    </row>
    <row r="214">
      <c r="A214" s="1"/>
      <c r="B214" s="1"/>
    </row>
    <row r="215">
      <c r="A215" s="1"/>
      <c r="B215" s="1"/>
    </row>
    <row r="216">
      <c r="A216" s="1"/>
      <c r="B216" s="1"/>
    </row>
    <row r="217">
      <c r="A217" s="1"/>
      <c r="B217" s="1"/>
    </row>
    <row r="218">
      <c r="A218" s="1"/>
      <c r="B218" s="1"/>
    </row>
    <row r="219">
      <c r="A219" s="1"/>
      <c r="B219" s="1"/>
    </row>
    <row r="220">
      <c r="A220" s="1"/>
      <c r="B220" s="1"/>
    </row>
    <row r="221">
      <c r="A221" s="1"/>
      <c r="B221" s="1"/>
    </row>
    <row r="222">
      <c r="A222" s="1"/>
      <c r="B222" s="1"/>
    </row>
    <row r="223">
      <c r="A223" s="1"/>
      <c r="B223" s="1"/>
    </row>
    <row r="224">
      <c r="A224" s="1"/>
      <c r="B224" s="1"/>
    </row>
    <row r="225">
      <c r="A225" s="1"/>
      <c r="B225" s="1"/>
    </row>
    <row r="226">
      <c r="A226" s="1"/>
      <c r="B226" s="1"/>
    </row>
    <row r="227">
      <c r="A227" s="1"/>
      <c r="B227" s="1"/>
    </row>
    <row r="228">
      <c r="A228" s="1"/>
      <c r="B228" s="1"/>
    </row>
    <row r="229">
      <c r="A229" s="1"/>
      <c r="B229" s="1"/>
    </row>
    <row r="230">
      <c r="A230" s="1"/>
      <c r="B230" s="1"/>
    </row>
    <row r="231">
      <c r="A231" s="1"/>
      <c r="B231" s="1"/>
    </row>
    <row r="232">
      <c r="A232" s="1"/>
      <c r="B232" s="1"/>
    </row>
    <row r="233">
      <c r="A233" s="1"/>
      <c r="B233" s="1"/>
    </row>
    <row r="234">
      <c r="A234" s="1"/>
      <c r="B234" s="1"/>
    </row>
    <row r="235">
      <c r="A235" s="1"/>
      <c r="B235" s="1"/>
    </row>
    <row r="236">
      <c r="A236" s="1"/>
      <c r="B236" s="1"/>
    </row>
    <row r="237">
      <c r="A237" s="1"/>
      <c r="B237" s="1"/>
    </row>
    <row r="238">
      <c r="A238" s="1"/>
      <c r="B238" s="1"/>
    </row>
    <row r="239">
      <c r="A239" s="1"/>
      <c r="B239" s="1"/>
    </row>
    <row r="240">
      <c r="A240" s="1"/>
      <c r="B240" s="1"/>
    </row>
    <row r="241">
      <c r="A241" s="1"/>
      <c r="B241" s="1"/>
    </row>
    <row r="242">
      <c r="A242" s="1"/>
      <c r="B242" s="1"/>
    </row>
    <row r="243">
      <c r="A243" s="1"/>
      <c r="B243" s="1"/>
    </row>
    <row r="244">
      <c r="A244" s="1"/>
      <c r="B244" s="1"/>
    </row>
    <row r="245">
      <c r="A245" s="1"/>
      <c r="B245" s="1"/>
    </row>
    <row r="246">
      <c r="A246" s="1"/>
      <c r="B246" s="1"/>
    </row>
    <row r="247">
      <c r="A247" s="1"/>
      <c r="B247" s="1"/>
    </row>
    <row r="248">
      <c r="A248" s="1"/>
      <c r="B248" s="1"/>
    </row>
    <row r="249">
      <c r="A249" s="1"/>
      <c r="B249" s="1"/>
    </row>
    <row r="250">
      <c r="A250" s="1"/>
      <c r="B250" s="1"/>
    </row>
    <row r="251">
      <c r="A251" s="1"/>
      <c r="B251" s="1"/>
    </row>
    <row r="252">
      <c r="A252" s="1"/>
      <c r="B252" s="1"/>
    </row>
    <row r="253">
      <c r="A253" s="1"/>
      <c r="B253" s="1"/>
    </row>
    <row r="254">
      <c r="A254" s="1"/>
      <c r="B254" s="1"/>
    </row>
    <row r="255">
      <c r="A255" s="1"/>
      <c r="B255" s="1"/>
    </row>
    <row r="256">
      <c r="A256" s="1"/>
      <c r="B256" s="1"/>
    </row>
    <row r="257">
      <c r="A257" s="1"/>
      <c r="B257" s="1"/>
    </row>
    <row r="258">
      <c r="A258" s="1"/>
      <c r="B258" s="1"/>
    </row>
    <row r="259">
      <c r="A259" s="1"/>
      <c r="B259" s="1"/>
    </row>
    <row r="260">
      <c r="A260" s="1"/>
      <c r="B260" s="1"/>
    </row>
    <row r="261">
      <c r="A261" s="1"/>
      <c r="B261" s="1"/>
    </row>
    <row r="262">
      <c r="A262" s="1"/>
      <c r="B262" s="1"/>
    </row>
    <row r="263">
      <c r="A263" s="1"/>
      <c r="B263" s="1"/>
    </row>
    <row r="264">
      <c r="A264" s="1"/>
      <c r="B264" s="1"/>
    </row>
    <row r="265">
      <c r="A265" s="1"/>
      <c r="B265" s="1"/>
    </row>
    <row r="266">
      <c r="A266" s="1"/>
      <c r="B266" s="1"/>
    </row>
    <row r="267">
      <c r="A267" s="1"/>
      <c r="B267" s="1"/>
    </row>
    <row r="268">
      <c r="A268" s="1"/>
      <c r="B268" s="1"/>
    </row>
    <row r="269">
      <c r="A269" s="1"/>
      <c r="B269" s="1"/>
    </row>
    <row r="270">
      <c r="A270" s="1"/>
      <c r="B270" s="1"/>
    </row>
    <row r="271">
      <c r="A271" s="1"/>
      <c r="B271" s="1"/>
    </row>
    <row r="272">
      <c r="A272" s="1"/>
      <c r="B272" s="1"/>
    </row>
    <row r="273">
      <c r="A273" s="1"/>
      <c r="B273" s="1"/>
    </row>
    <row r="274">
      <c r="A274" s="1"/>
      <c r="B274" s="1"/>
    </row>
    <row r="275">
      <c r="A275" s="1"/>
      <c r="B275" s="1"/>
    </row>
    <row r="276">
      <c r="A276" s="1"/>
      <c r="B276" s="1"/>
    </row>
    <row r="277">
      <c r="A277" s="1"/>
      <c r="B277" s="1"/>
    </row>
    <row r="278">
      <c r="A278" s="1"/>
      <c r="B278" s="1"/>
    </row>
    <row r="279">
      <c r="A279" s="1"/>
      <c r="B279" s="1"/>
    </row>
    <row r="280">
      <c r="A280" s="1"/>
      <c r="B280" s="1"/>
    </row>
    <row r="281">
      <c r="A281" s="1"/>
      <c r="B281" s="1"/>
    </row>
    <row r="282">
      <c r="A282" s="1"/>
      <c r="B282" s="1"/>
    </row>
    <row r="283">
      <c r="A283" s="1"/>
      <c r="B283" s="1"/>
    </row>
    <row r="284">
      <c r="A284" s="1"/>
      <c r="B284" s="1"/>
    </row>
    <row r="285">
      <c r="A285" s="1"/>
      <c r="B285" s="1"/>
    </row>
    <row r="286">
      <c r="A286" s="1"/>
      <c r="B286" s="1"/>
    </row>
    <row r="287">
      <c r="A287" s="1"/>
      <c r="B287" s="1"/>
    </row>
    <row r="288">
      <c r="A288" s="1"/>
      <c r="B288" s="1"/>
    </row>
    <row r="289">
      <c r="A289" s="1"/>
      <c r="B289" s="1"/>
    </row>
    <row r="290">
      <c r="A290" s="1"/>
      <c r="B290" s="1"/>
    </row>
    <row r="291">
      <c r="A291" s="1"/>
      <c r="B291" s="1"/>
    </row>
    <row r="292">
      <c r="A292" s="1"/>
      <c r="B292" s="1"/>
    </row>
    <row r="293">
      <c r="A293" s="1"/>
      <c r="B293" s="1"/>
    </row>
    <row r="294">
      <c r="A294" s="1"/>
      <c r="B294" s="1"/>
    </row>
    <row r="295">
      <c r="A295" s="1"/>
      <c r="B295" s="1"/>
    </row>
    <row r="296">
      <c r="A296" s="1"/>
      <c r="B296" s="1"/>
    </row>
    <row r="297">
      <c r="A297" s="1"/>
      <c r="B297" s="1"/>
    </row>
    <row r="298">
      <c r="A298" s="1"/>
      <c r="B298" s="1"/>
    </row>
    <row r="299">
      <c r="A299" s="1"/>
      <c r="B299" s="1"/>
    </row>
    <row r="300">
      <c r="A300" s="1"/>
      <c r="B300" s="1"/>
    </row>
    <row r="301">
      <c r="A301" s="1"/>
      <c r="B301" s="1"/>
    </row>
    <row r="302">
      <c r="A302" s="1"/>
      <c r="B302" s="1"/>
    </row>
    <row r="303">
      <c r="A303" s="1"/>
      <c r="B303" s="1"/>
    </row>
    <row r="304">
      <c r="A304" s="1"/>
      <c r="B304" s="1"/>
    </row>
    <row r="305">
      <c r="A305" s="1"/>
      <c r="B305" s="1"/>
    </row>
    <row r="306">
      <c r="A306" s="1"/>
      <c r="B306" s="1"/>
    </row>
    <row r="307">
      <c r="A307" s="1"/>
      <c r="B307" s="1"/>
    </row>
    <row r="308">
      <c r="A308" s="1"/>
      <c r="B308" s="1"/>
    </row>
    <row r="309">
      <c r="A309" s="1"/>
      <c r="B309" s="1"/>
    </row>
    <row r="310">
      <c r="A310" s="1"/>
      <c r="B310" s="1"/>
    </row>
    <row r="311">
      <c r="A311" s="1"/>
      <c r="B311" s="1"/>
    </row>
    <row r="312">
      <c r="A312" s="1"/>
      <c r="B312" s="1"/>
    </row>
    <row r="313">
      <c r="A313" s="1"/>
      <c r="B313" s="1"/>
    </row>
    <row r="314">
      <c r="A314" s="1"/>
      <c r="B314" s="1"/>
    </row>
    <row r="315">
      <c r="A315" s="1"/>
      <c r="B315" s="1"/>
    </row>
    <row r="316">
      <c r="A316" s="1"/>
      <c r="B316" s="1"/>
    </row>
    <row r="317">
      <c r="A317" s="1"/>
      <c r="B317" s="1"/>
    </row>
    <row r="318">
      <c r="A318" s="1"/>
      <c r="B318" s="1"/>
    </row>
    <row r="319">
      <c r="A319" s="1"/>
      <c r="B319" s="1"/>
    </row>
    <row r="320">
      <c r="A320" s="1"/>
      <c r="B320" s="1"/>
    </row>
    <row r="321">
      <c r="A321" s="1"/>
      <c r="B321" s="1"/>
    </row>
    <row r="322">
      <c r="A322" s="1"/>
      <c r="B322" s="1"/>
    </row>
    <row r="323">
      <c r="A323" s="1"/>
      <c r="B323" s="1"/>
    </row>
    <row r="324">
      <c r="A324" s="1"/>
      <c r="B324" s="1"/>
    </row>
    <row r="325">
      <c r="A325" s="1"/>
      <c r="B325" s="1"/>
    </row>
    <row r="326">
      <c r="A326" s="1"/>
      <c r="B326" s="1"/>
    </row>
    <row r="327">
      <c r="A327" s="1"/>
      <c r="B327" s="1"/>
    </row>
    <row r="328">
      <c r="A328" s="1"/>
      <c r="B328" s="1"/>
    </row>
    <row r="329">
      <c r="A329" s="1"/>
      <c r="B329" s="1"/>
    </row>
    <row r="330">
      <c r="A330" s="1"/>
      <c r="B330" s="1"/>
    </row>
    <row r="331">
      <c r="A331" s="1"/>
      <c r="B331" s="1"/>
    </row>
    <row r="332">
      <c r="A332" s="1"/>
      <c r="B332" s="1"/>
    </row>
    <row r="333">
      <c r="A333" s="1"/>
      <c r="B333" s="1"/>
    </row>
    <row r="334">
      <c r="A334" s="1"/>
      <c r="B334" s="1"/>
    </row>
    <row r="335">
      <c r="A335" s="1"/>
      <c r="B335" s="1"/>
    </row>
    <row r="336">
      <c r="A336" s="1"/>
      <c r="B336" s="1"/>
    </row>
    <row r="337">
      <c r="A337" s="1"/>
      <c r="B337" s="1"/>
    </row>
    <row r="338">
      <c r="A338" s="1"/>
      <c r="B338" s="1"/>
    </row>
    <row r="339">
      <c r="A339" s="1"/>
      <c r="B339" s="1"/>
    </row>
    <row r="340">
      <c r="A340" s="1"/>
      <c r="B340" s="1"/>
    </row>
    <row r="341">
      <c r="A341" s="1"/>
      <c r="B341" s="1"/>
    </row>
    <row r="342">
      <c r="A342" s="1"/>
      <c r="B342" s="1"/>
    </row>
    <row r="343">
      <c r="A343" s="1"/>
      <c r="B343" s="1"/>
    </row>
    <row r="344">
      <c r="A344" s="1"/>
      <c r="B344" s="1"/>
    </row>
    <row r="345">
      <c r="A345" s="1"/>
      <c r="B345" s="1"/>
    </row>
    <row r="346">
      <c r="A346" s="1"/>
      <c r="B346" s="1"/>
    </row>
    <row r="347">
      <c r="A347" s="1"/>
      <c r="B347" s="1"/>
    </row>
    <row r="348">
      <c r="A348" s="1"/>
      <c r="B348" s="1"/>
    </row>
    <row r="349">
      <c r="A349" s="1"/>
      <c r="B349" s="1"/>
    </row>
    <row r="350">
      <c r="A350" s="1"/>
      <c r="B350" s="1"/>
    </row>
    <row r="351">
      <c r="A351" s="1"/>
      <c r="B351" s="1"/>
    </row>
    <row r="352">
      <c r="A352" s="1"/>
      <c r="B352" s="1"/>
    </row>
    <row r="353">
      <c r="A353" s="1"/>
      <c r="B353" s="1"/>
    </row>
    <row r="354">
      <c r="A354" s="1"/>
      <c r="B354" s="1"/>
    </row>
    <row r="355">
      <c r="A355" s="1"/>
      <c r="B355" s="1"/>
    </row>
    <row r="356">
      <c r="A356" s="1"/>
      <c r="B356" s="1"/>
    </row>
    <row r="357">
      <c r="A357" s="1"/>
      <c r="B357" s="1"/>
    </row>
    <row r="358">
      <c r="A358" s="1"/>
      <c r="B358" s="1"/>
    </row>
    <row r="359">
      <c r="A359" s="1"/>
      <c r="B359" s="1"/>
    </row>
    <row r="360">
      <c r="A360" s="1"/>
      <c r="B360" s="1"/>
    </row>
    <row r="361">
      <c r="A361" s="1"/>
      <c r="B361" s="1"/>
    </row>
    <row r="362">
      <c r="A362" s="1"/>
      <c r="B362" s="1"/>
    </row>
    <row r="363">
      <c r="A363" s="1"/>
      <c r="B363" s="1"/>
    </row>
    <row r="364">
      <c r="A364" s="1"/>
      <c r="B364" s="1"/>
    </row>
    <row r="365">
      <c r="A365" s="1"/>
      <c r="B365" s="1"/>
    </row>
    <row r="366">
      <c r="A366" s="1"/>
      <c r="B366" s="1"/>
    </row>
    <row r="367">
      <c r="A367" s="1"/>
      <c r="B367" s="1"/>
    </row>
    <row r="368">
      <c r="A368" s="1"/>
      <c r="B368" s="1"/>
    </row>
    <row r="369">
      <c r="A369" s="1"/>
      <c r="B369" s="1"/>
    </row>
    <row r="370">
      <c r="A370" s="1"/>
      <c r="B370" s="1"/>
    </row>
    <row r="371">
      <c r="A371" s="1"/>
      <c r="B371" s="1"/>
    </row>
    <row r="372">
      <c r="A372" s="1"/>
      <c r="B372" s="1"/>
    </row>
    <row r="373">
      <c r="A373" s="1"/>
      <c r="B373" s="1"/>
    </row>
    <row r="374">
      <c r="A374" s="1"/>
      <c r="B374" s="1"/>
    </row>
    <row r="375">
      <c r="A375" s="1"/>
      <c r="B375" s="1"/>
    </row>
    <row r="376">
      <c r="A376" s="1"/>
      <c r="B376" s="1"/>
    </row>
    <row r="377">
      <c r="A377" s="1"/>
      <c r="B377" s="1"/>
    </row>
    <row r="378">
      <c r="A378" s="1"/>
      <c r="B378" s="1"/>
    </row>
    <row r="379">
      <c r="A379" s="1"/>
      <c r="B379" s="1"/>
    </row>
    <row r="380">
      <c r="A380" s="1"/>
      <c r="B380" s="1"/>
    </row>
    <row r="381">
      <c r="A381" s="1"/>
      <c r="B381" s="1"/>
    </row>
    <row r="382">
      <c r="A382" s="1"/>
      <c r="B382" s="1"/>
    </row>
    <row r="383">
      <c r="A383" s="1"/>
      <c r="B383" s="1"/>
    </row>
    <row r="384">
      <c r="A384" s="1"/>
      <c r="B384" s="1"/>
    </row>
    <row r="385">
      <c r="A385" s="1"/>
      <c r="B385" s="1"/>
    </row>
    <row r="386">
      <c r="A386" s="1"/>
      <c r="B386" s="1"/>
    </row>
    <row r="387">
      <c r="A387" s="1"/>
      <c r="B387" s="1"/>
    </row>
    <row r="388">
      <c r="A388" s="1"/>
      <c r="B388" s="1"/>
    </row>
    <row r="389">
      <c r="A389" s="1"/>
      <c r="B389" s="1"/>
    </row>
    <row r="390">
      <c r="A390" s="1"/>
      <c r="B390" s="1"/>
    </row>
    <row r="391">
      <c r="A391" s="1"/>
      <c r="B391" s="1"/>
    </row>
    <row r="392">
      <c r="A392" s="1"/>
      <c r="B392" s="1"/>
    </row>
    <row r="393">
      <c r="A393" s="1"/>
      <c r="B393" s="1"/>
    </row>
    <row r="394">
      <c r="A394" s="1"/>
      <c r="B394" s="1"/>
    </row>
    <row r="395">
      <c r="A395" s="1"/>
      <c r="B395" s="1"/>
    </row>
    <row r="396">
      <c r="A396" s="1"/>
      <c r="B396" s="1"/>
    </row>
    <row r="397">
      <c r="A397" s="1"/>
      <c r="B397" s="1"/>
    </row>
    <row r="398">
      <c r="A398" s="1"/>
      <c r="B398" s="1"/>
    </row>
    <row r="399">
      <c r="A399" s="1"/>
      <c r="B399" s="1"/>
    </row>
    <row r="400">
      <c r="A400" s="1"/>
      <c r="B400" s="1"/>
    </row>
    <row r="401">
      <c r="A401" s="1"/>
      <c r="B401" s="1"/>
    </row>
    <row r="402">
      <c r="A402" s="1"/>
      <c r="B402" s="1"/>
    </row>
    <row r="403">
      <c r="A403" s="1"/>
      <c r="B403" s="1"/>
    </row>
    <row r="404">
      <c r="A404" s="1"/>
      <c r="B404" s="1"/>
    </row>
    <row r="405">
      <c r="A405" s="1"/>
      <c r="B405" s="1"/>
    </row>
    <row r="406">
      <c r="A406" s="1"/>
      <c r="B406" s="1"/>
    </row>
    <row r="407">
      <c r="A407" s="1"/>
      <c r="B407" s="1"/>
    </row>
    <row r="408">
      <c r="A408" s="1"/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  <row r="446">
      <c r="A446" s="1"/>
      <c r="B446" s="1"/>
    </row>
    <row r="447">
      <c r="A447" s="1"/>
      <c r="B447" s="1"/>
    </row>
    <row r="448">
      <c r="A448" s="1"/>
      <c r="B448" s="1"/>
    </row>
    <row r="449">
      <c r="A449" s="1"/>
      <c r="B449" s="1"/>
    </row>
    <row r="450">
      <c r="A450" s="1"/>
      <c r="B450" s="1"/>
    </row>
    <row r="451">
      <c r="A451" s="1"/>
      <c r="B451" s="1"/>
    </row>
    <row r="452">
      <c r="A452" s="1"/>
      <c r="B452" s="1"/>
    </row>
    <row r="453">
      <c r="A453" s="1"/>
      <c r="B453" s="1"/>
    </row>
    <row r="454">
      <c r="A454" s="1"/>
      <c r="B454" s="1"/>
    </row>
    <row r="455">
      <c r="A455" s="1"/>
      <c r="B455" s="1"/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</sheetData>
  <mergeCells count="2">
    <mergeCell ref="E1:H1"/>
    <mergeCell ref="I1:L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1" max="11" width="5.5"/>
    <col customWidth="1" min="12" max="12" width="3.13"/>
    <col customWidth="1" min="13" max="13" width="5.5"/>
    <col customWidth="1" min="14" max="14" width="3.13"/>
    <col customWidth="1" min="15" max="15" width="5.5"/>
    <col customWidth="1" min="16" max="16" width="3.13"/>
    <col customWidth="1" min="17" max="17" width="5.5"/>
    <col customWidth="1" min="18" max="18" width="3.13"/>
    <col customWidth="1" min="19" max="19" width="5.5"/>
    <col customWidth="1" min="20" max="20" width="3.13"/>
    <col customWidth="1" min="21" max="21" width="5.5"/>
    <col customWidth="1" min="22" max="22" width="3.13"/>
  </cols>
  <sheetData>
    <row r="1">
      <c r="A1" s="1" t="s">
        <v>127</v>
      </c>
      <c r="C1" s="3">
        <f t="array" ref="C1">XLOOKUP("Healer",Settings[Role],Settings[HP])</f>
        <v>186816</v>
      </c>
      <c r="E1" s="1" t="s">
        <v>128</v>
      </c>
      <c r="F1" s="1" t="s">
        <v>129</v>
      </c>
      <c r="G1" s="4" t="str">
        <f t="array" ref="G1">"HP : " &amp; text(XLOOKUP("Healer",Settings[Role],Settings[HP]),"#,###,###")</f>
        <v>HP : 186,816</v>
      </c>
      <c r="H1" s="1" t="s">
        <v>130</v>
      </c>
      <c r="I1" s="1" t="s">
        <v>131</v>
      </c>
      <c r="J1" s="1" t="s">
        <v>132</v>
      </c>
      <c r="K1" s="1" t="s">
        <v>133</v>
      </c>
      <c r="L1" s="2"/>
      <c r="M1" s="1" t="s">
        <v>134</v>
      </c>
      <c r="N1" s="5"/>
      <c r="O1" s="1" t="s">
        <v>135</v>
      </c>
      <c r="P1" s="5"/>
      <c r="Q1" s="1" t="s">
        <v>136</v>
      </c>
      <c r="R1" s="5"/>
      <c r="S1" s="1" t="s">
        <v>137</v>
      </c>
      <c r="T1" s="5"/>
      <c r="U1" s="1" t="s">
        <v>138</v>
      </c>
      <c r="V1" s="5"/>
    </row>
    <row r="2">
      <c r="A2" s="6">
        <f>$E2+$F2</f>
        <v>0</v>
      </c>
      <c r="C2" s="7">
        <v>0.0</v>
      </c>
      <c r="D2" s="1" t="s">
        <v>139</v>
      </c>
      <c r="F2" s="1"/>
      <c r="G2" s="8">
        <f>$C$1+$H2</f>
        <v>186816</v>
      </c>
      <c r="H2" s="6">
        <f t="array" ref="H2">XLOOKUP($K2,Skills[Action],Skills[Barrier_H],"")+XLOOKUP($M2,Skills[Action],Skills[Barrier_H],"")+XLOOKUP($O2,Skills[Action],Skills[Barrier_H],"")+XLOOKUP($Q2,Skills[Action],Skills[Barrier_H],"")+XLOOKUP($S2,Skills[Action],Skills[Barrier_H],"")+XLOOKUP($U2,Skills[Action],Skills[Barrier_H],"")</f>
        <v>0</v>
      </c>
      <c r="I2" s="6">
        <f t="array" ref="I2">XLOOKUP($K2,Skills[Action],Skills[H],"")+XLOOKUP($M2,Skills[Action],Skills[H],"")+XLOOKUP($O2,Skills[Action],Skills[H],"")+XLOOKUP($Q2,Skills[Action],Skills[H],"")+XLOOKUP($S2,Skills[Action],Skills[H],"")+XLOOKUP($U2,Skills[Action],Skills[H],"")</f>
        <v>0</v>
      </c>
      <c r="J2" s="6">
        <f t="array" ref="J2">XLOOKUP($K2,Skills[Action],Skills[HOT_H(tick)],"")+XLOOKUP($M2,Skills[Action],Skills[HOT_H(tick)],"")+XLOOKUP($O2,Skills[Action],Skills[HOT_H(tick)],"")+XLOOKUP($Q2,Skills[Action],Skills[HOT_H(tick)],"")+XLOOKUP($S2,Skills[Action],Skills[HOT_H(tick)],"")+XLOOKUP($U2,Skills[Action],Skills[HOT_H(tick)],"")</f>
        <v>0</v>
      </c>
      <c r="K2" s="6"/>
      <c r="L2" s="5" t="str">
        <f t="array" ref="L2">XLOOKUP(K2,Skills[Action],Skills[Icon],"")</f>
        <v/>
      </c>
      <c r="M2" s="6"/>
      <c r="N2" s="5" t="str">
        <f t="array" ref="N2">XLOOKUP(M2,Skills[Action],Skills[Icon],"")</f>
        <v/>
      </c>
      <c r="O2" s="6"/>
      <c r="P2" s="5" t="str">
        <f t="array" ref="P2">XLOOKUP(O2,Skills[Action],Skills[Icon],"")</f>
        <v/>
      </c>
      <c r="Q2" s="6"/>
      <c r="R2" s="5" t="str">
        <f t="array" ref="R2">XLOOKUP(Q2,Skills[Action],Skills[Icon],"")</f>
        <v/>
      </c>
      <c r="S2" s="6"/>
      <c r="T2" s="5" t="str">
        <f t="array" ref="T2">XLOOKUP(S2,Skills[Action],Skills[Icon],"")</f>
        <v/>
      </c>
      <c r="U2" s="6"/>
      <c r="V2" s="5" t="str">
        <f t="array" ref="V2">XLOOKUP(U2,Skills[Action],Skills[Icon],"")</f>
        <v/>
      </c>
    </row>
    <row r="3">
      <c r="C3" s="7">
        <v>1.1574074074074073E-5</v>
      </c>
      <c r="E3" s="7"/>
      <c r="F3" s="7"/>
      <c r="G3" s="8">
        <f t="shared" ref="G3:G23" si="1">$G2+$H3-$E3-$F3</f>
        <v>186816</v>
      </c>
      <c r="H3" s="6">
        <f t="array" ref="H3">XLOOKUP($K3,Skills[Action],Skills[Barrier_H],"")+XLOOKUP($M3,Skills[Action],Skills[Barrier_H],"")+XLOOKUP($O3,Skills[Action],Skills[Barrier_H],"")+XLOOKUP($Q3,Skills[Action],Skills[Barrier_H],"")+XLOOKUP($S3,Skills[Action],Skills[Barrier_H],"")+XLOOKUP($U3,Skills[Action],Skills[Barrier_H],"")</f>
        <v>0</v>
      </c>
      <c r="I3" s="6">
        <f t="array" ref="I3">XLOOKUP($K3,Skills[Action],Skills[H],"")+XLOOKUP($M3,Skills[Action],Skills[H],"")+XLOOKUP($O3,Skills[Action],Skills[H],"")+XLOOKUP($Q3,Skills[Action],Skills[H],"")+XLOOKUP($S3,Skills[Action],Skills[H],"")+XLOOKUP($U3,Skills[Action],Skills[H],"")</f>
        <v>17261</v>
      </c>
      <c r="J3" s="6">
        <f t="array" ref="J3">XLOOKUP($K3,Skills[Action],Skills[HOT_H(tick)],"")+XLOOKUP($M3,Skills[Action],Skills[HOT_H(tick)],"")+XLOOKUP($O3,Skills[Action],Skills[HOT_H(tick)],"")+XLOOKUP($Q3,Skills[Action],Skills[HOT_H(tick)],"")+XLOOKUP($S3,Skills[Action],Skills[HOT_H(tick)],"")+XLOOKUP($U3,Skills[Action],Skills[HOT_H(tick)],"")</f>
        <v>10736</v>
      </c>
      <c r="K3" s="1" t="s">
        <v>140</v>
      </c>
      <c r="L3" s="5" t="str">
        <f t="array" ref="L3">XLOOKUP(K3,Skills[Action],Skills[Icon],"")</f>
        <v/>
      </c>
      <c r="M3" s="1" t="s">
        <v>141</v>
      </c>
      <c r="N3" s="5" t="str">
        <f t="array" ref="N3">XLOOKUP(M3,Skills[Action],Skills[Icon],"")</f>
        <v/>
      </c>
      <c r="O3" s="6"/>
      <c r="P3" s="5" t="str">
        <f t="array" ref="P3">XLOOKUP(O3,Skills[Action],Skills[Icon],"")</f>
        <v/>
      </c>
      <c r="Q3" s="6"/>
      <c r="R3" s="5" t="str">
        <f t="array" ref="R3">XLOOKUP(Q3,Skills[Action],Skills[Icon],"")</f>
        <v/>
      </c>
      <c r="S3" s="6"/>
      <c r="T3" s="5" t="str">
        <f t="array" ref="T3">XLOOKUP(S3,Skills[Action],Skills[Icon],"")</f>
        <v/>
      </c>
      <c r="U3" s="6"/>
      <c r="V3" s="5" t="str">
        <f t="array" ref="V3">XLOOKUP(U3,Skills[Action],Skills[Icon],"")</f>
        <v/>
      </c>
    </row>
    <row r="4">
      <c r="C4" s="7">
        <v>2.3148148148148147E-5</v>
      </c>
      <c r="E4" s="7"/>
      <c r="F4" s="7"/>
      <c r="G4" s="8">
        <f t="shared" si="1"/>
        <v>186816</v>
      </c>
      <c r="H4" s="6">
        <f t="array" ref="H4">XLOOKUP($K4,Skills[Action],Skills[Barrier_H],"")+XLOOKUP($M4,Skills[Action],Skills[Barrier_H],"")+XLOOKUP($O4,Skills[Action],Skills[Barrier_H],"")+XLOOKUP($Q4,Skills[Action],Skills[Barrier_H],"")+XLOOKUP($S4,Skills[Action],Skills[Barrier_H],"")+XLOOKUP($U4,Skills[Action],Skills[Barrier_H],"")</f>
        <v>0</v>
      </c>
      <c r="I4" s="6">
        <f t="array" ref="I4">XLOOKUP($K4,Skills[Action],Skills[H],"")+XLOOKUP($M4,Skills[Action],Skills[H],"")+XLOOKUP($O4,Skills[Action],Skills[H],"")+XLOOKUP($Q4,Skills[Action],Skills[H],"")+XLOOKUP($S4,Skills[Action],Skills[H],"")+XLOOKUP($U4,Skills[Action],Skills[H],"")</f>
        <v>0</v>
      </c>
      <c r="J4" s="6">
        <f t="array" ref="J4">XLOOKUP($K4,Skills[Action],Skills[HOT_H(tick)],"")+XLOOKUP($M4,Skills[Action],Skills[HOT_H(tick)],"")+XLOOKUP($O4,Skills[Action],Skills[HOT_H(tick)],"")+XLOOKUP($Q4,Skills[Action],Skills[HOT_H(tick)],"")+XLOOKUP($S4,Skills[Action],Skills[HOT_H(tick)],"")+XLOOKUP($U4,Skills[Action],Skills[HOT_H(tick)],"")</f>
        <v>0</v>
      </c>
      <c r="K4" s="6"/>
      <c r="L4" s="5" t="str">
        <f t="array" ref="L4">XLOOKUP(K4,Skills[Action],Skills[Icon],"")</f>
        <v/>
      </c>
      <c r="M4" s="6"/>
      <c r="N4" s="5" t="str">
        <f t="array" ref="N4">XLOOKUP(M4,Skills[Action],Skills[Icon],"")</f>
        <v/>
      </c>
      <c r="O4" s="6"/>
      <c r="P4" s="5" t="str">
        <f t="array" ref="P4">XLOOKUP(O4,Skills[Action],Skills[Icon],"")</f>
        <v/>
      </c>
      <c r="Q4" s="6"/>
      <c r="R4" s="5" t="str">
        <f t="array" ref="R4">XLOOKUP(Q4,Skills[Action],Skills[Icon],"")</f>
        <v/>
      </c>
      <c r="S4" s="6"/>
      <c r="T4" s="5" t="str">
        <f t="array" ref="T4">XLOOKUP(S4,Skills[Action],Skills[Icon],"")</f>
        <v/>
      </c>
      <c r="U4" s="6"/>
      <c r="V4" s="5" t="str">
        <f t="array" ref="V4">XLOOKUP(U4,Skills[Action],Skills[Icon],"")</f>
        <v/>
      </c>
    </row>
    <row r="5">
      <c r="C5" s="7">
        <v>3.472222222222222E-5</v>
      </c>
      <c r="D5" s="1" t="s">
        <v>142</v>
      </c>
      <c r="E5" s="1">
        <v>9000.0</v>
      </c>
      <c r="F5" s="7"/>
      <c r="G5" s="8">
        <f t="shared" si="1"/>
        <v>177816</v>
      </c>
      <c r="H5" s="6">
        <f t="array" ref="H5">XLOOKUP($K5,Skills[Action],Skills[Barrier_H],"")+XLOOKUP($M5,Skills[Action],Skills[Barrier_H],"")+XLOOKUP($O5,Skills[Action],Skills[Barrier_H],"")+XLOOKUP($Q5,Skills[Action],Skills[Barrier_H],"")+XLOOKUP($S5,Skills[Action],Skills[Barrier_H],"")+XLOOKUP($U5,Skills[Action],Skills[Barrier_H],"")</f>
        <v>0</v>
      </c>
      <c r="I5" s="6">
        <f t="array" ref="I5">XLOOKUP($K5,Skills[Action],Skills[H],"")+XLOOKUP($M5,Skills[Action],Skills[H],"")+XLOOKUP($O5,Skills[Action],Skills[H],"")+XLOOKUP($Q5,Skills[Action],Skills[H],"")+XLOOKUP($S5,Skills[Action],Skills[H],"")+XLOOKUP($U5,Skills[Action],Skills[H],"")</f>
        <v>0</v>
      </c>
      <c r="J5" s="6">
        <f t="array" ref="J5">XLOOKUP($K5,Skills[Action],Skills[HOT_H(tick)],"")+XLOOKUP($M5,Skills[Action],Skills[HOT_H(tick)],"")+XLOOKUP($O5,Skills[Action],Skills[HOT_H(tick)],"")+XLOOKUP($Q5,Skills[Action],Skills[HOT_H(tick)],"")+XLOOKUP($S5,Skills[Action],Skills[HOT_H(tick)],"")+XLOOKUP($U5,Skills[Action],Skills[HOT_H(tick)],"")</f>
        <v>0</v>
      </c>
      <c r="K5" s="6"/>
      <c r="L5" s="5" t="str">
        <f t="array" ref="L5">XLOOKUP(K5,Skills[Action],Skills[Icon],"")</f>
        <v/>
      </c>
      <c r="M5" s="6"/>
      <c r="N5" s="5" t="str">
        <f t="array" ref="N5">XLOOKUP(M5,Skills[Action],Skills[Icon],"")</f>
        <v/>
      </c>
      <c r="O5" s="6"/>
      <c r="P5" s="5" t="str">
        <f t="array" ref="P5">XLOOKUP(O5,Skills[Action],Skills[Icon],"")</f>
        <v/>
      </c>
      <c r="Q5" s="6"/>
      <c r="R5" s="5" t="str">
        <f t="array" ref="R5">XLOOKUP(Q5,Skills[Action],Skills[Icon],"")</f>
        <v/>
      </c>
      <c r="S5" s="6"/>
      <c r="T5" s="5" t="str">
        <f t="array" ref="T5">XLOOKUP(S5,Skills[Action],Skills[Icon],"")</f>
        <v/>
      </c>
      <c r="U5" s="6"/>
      <c r="V5" s="5" t="str">
        <f t="array" ref="V5">XLOOKUP(U5,Skills[Action],Skills[Icon],"")</f>
        <v/>
      </c>
    </row>
    <row r="6">
      <c r="C6" s="7">
        <v>4.6296296296296294E-5</v>
      </c>
      <c r="E6" s="7"/>
      <c r="F6" s="7"/>
      <c r="G6" s="8">
        <f t="shared" si="1"/>
        <v>177816</v>
      </c>
      <c r="H6" s="6">
        <f t="array" ref="H6">XLOOKUP($K6,Skills[Action],Skills[Barrier_H],"")+XLOOKUP($M6,Skills[Action],Skills[Barrier_H],"")+XLOOKUP($O6,Skills[Action],Skills[Barrier_H],"")+XLOOKUP($Q6,Skills[Action],Skills[Barrier_H],"")+XLOOKUP($S6,Skills[Action],Skills[Barrier_H],"")+XLOOKUP($U6,Skills[Action],Skills[Barrier_H],"")</f>
        <v>0</v>
      </c>
      <c r="I6" s="6">
        <f t="array" ref="I6">XLOOKUP($K6,Skills[Action],Skills[H],"")+XLOOKUP($M6,Skills[Action],Skills[H],"")+XLOOKUP($O6,Skills[Action],Skills[H],"")+XLOOKUP($Q6,Skills[Action],Skills[H],"")+XLOOKUP($S6,Skills[Action],Skills[H],"")+XLOOKUP($U6,Skills[Action],Skills[H],"")</f>
        <v>0</v>
      </c>
      <c r="J6" s="6">
        <f t="array" ref="J6">XLOOKUP($K6,Skills[Action],Skills[HOT_H(tick)],"")+XLOOKUP($M6,Skills[Action],Skills[HOT_H(tick)],"")+XLOOKUP($O6,Skills[Action],Skills[HOT_H(tick)],"")+XLOOKUP($Q6,Skills[Action],Skills[HOT_H(tick)],"")+XLOOKUP($S6,Skills[Action],Skills[HOT_H(tick)],"")+XLOOKUP($U6,Skills[Action],Skills[HOT_H(tick)],"")</f>
        <v>0</v>
      </c>
      <c r="K6" s="6"/>
      <c r="L6" s="5" t="str">
        <f t="array" ref="L6">XLOOKUP(K6,Skills[Action],Skills[Icon],"")</f>
        <v/>
      </c>
      <c r="M6" s="6"/>
      <c r="N6" s="5" t="str">
        <f t="array" ref="N6">XLOOKUP(M6,Skills[Action],Skills[Icon],"")</f>
        <v/>
      </c>
      <c r="O6" s="6"/>
      <c r="P6" s="5" t="str">
        <f t="array" ref="P6">XLOOKUP(O6,Skills[Action],Skills[Icon],"")</f>
        <v/>
      </c>
      <c r="Q6" s="6"/>
      <c r="R6" s="5" t="str">
        <f t="array" ref="R6">XLOOKUP(Q6,Skills[Action],Skills[Icon],"")</f>
        <v/>
      </c>
      <c r="S6" s="6"/>
      <c r="T6" s="5" t="str">
        <f t="array" ref="T6">XLOOKUP(S6,Skills[Action],Skills[Icon],"")</f>
        <v/>
      </c>
      <c r="U6" s="6"/>
      <c r="V6" s="5" t="str">
        <f t="array" ref="V6">XLOOKUP(U6,Skills[Action],Skills[Icon],"")</f>
        <v/>
      </c>
    </row>
    <row r="7">
      <c r="C7" s="7">
        <v>5.787037037037037E-5</v>
      </c>
      <c r="E7" s="7"/>
      <c r="F7" s="7"/>
      <c r="G7" s="8">
        <f t="shared" si="1"/>
        <v>177816</v>
      </c>
      <c r="H7" s="6">
        <f t="array" ref="H7">XLOOKUP($K7,Skills[Action],Skills[Barrier_H],"")+XLOOKUP($M7,Skills[Action],Skills[Barrier_H],"")+XLOOKUP($O7,Skills[Action],Skills[Barrier_H],"")+XLOOKUP($Q7,Skills[Action],Skills[Barrier_H],"")+XLOOKUP($S7,Skills[Action],Skills[Barrier_H],"")+XLOOKUP($U7,Skills[Action],Skills[Barrier_H],"")</f>
        <v>0</v>
      </c>
      <c r="I7" s="6">
        <f t="array" ref="I7">XLOOKUP($K7,Skills[Action],Skills[H],"")+XLOOKUP($M7,Skills[Action],Skills[H],"")+XLOOKUP($O7,Skills[Action],Skills[H],"")+XLOOKUP($Q7,Skills[Action],Skills[H],"")+XLOOKUP($S7,Skills[Action],Skills[H],"")+XLOOKUP($U7,Skills[Action],Skills[H],"")</f>
        <v>0</v>
      </c>
      <c r="J7" s="6">
        <f t="array" ref="J7">XLOOKUP($K7,Skills[Action],Skills[HOT_H(tick)],"")+XLOOKUP($M7,Skills[Action],Skills[HOT_H(tick)],"")+XLOOKUP($O7,Skills[Action],Skills[HOT_H(tick)],"")+XLOOKUP($Q7,Skills[Action],Skills[HOT_H(tick)],"")+XLOOKUP($S7,Skills[Action],Skills[HOT_H(tick)],"")+XLOOKUP($U7,Skills[Action],Skills[HOT_H(tick)],"")</f>
        <v>0</v>
      </c>
      <c r="K7" s="6"/>
      <c r="L7" s="5" t="str">
        <f t="array" ref="L7">XLOOKUP(K7,Skills[Action],Skills[Icon],"")</f>
        <v/>
      </c>
      <c r="M7" s="6"/>
      <c r="N7" s="5" t="str">
        <f t="array" ref="N7">XLOOKUP(M7,Skills[Action],Skills[Icon],"")</f>
        <v/>
      </c>
      <c r="O7" s="6"/>
      <c r="P7" s="5" t="str">
        <f t="array" ref="P7">XLOOKUP(O7,Skills[Action],Skills[Icon],"")</f>
        <v/>
      </c>
      <c r="Q7" s="6"/>
      <c r="R7" s="5" t="str">
        <f t="array" ref="R7">XLOOKUP(Q7,Skills[Action],Skills[Icon],"")</f>
        <v/>
      </c>
      <c r="S7" s="6"/>
      <c r="T7" s="5" t="str">
        <f t="array" ref="T7">XLOOKUP(S7,Skills[Action],Skills[Icon],"")</f>
        <v/>
      </c>
      <c r="U7" s="6"/>
      <c r="V7" s="5" t="str">
        <f t="array" ref="V7">XLOOKUP(U7,Skills[Action],Skills[Icon],"")</f>
        <v/>
      </c>
    </row>
    <row r="8">
      <c r="C8" s="7">
        <v>6.944444444444444E-5</v>
      </c>
      <c r="E8" s="7"/>
      <c r="F8" s="7"/>
      <c r="G8" s="8">
        <f t="shared" si="1"/>
        <v>177816</v>
      </c>
      <c r="H8" s="6">
        <f t="array" ref="H8">XLOOKUP($K8,Skills[Action],Skills[Barrier_H],"")+XLOOKUP($M8,Skills[Action],Skills[Barrier_H],"")+XLOOKUP($O8,Skills[Action],Skills[Barrier_H],"")+XLOOKUP($Q8,Skills[Action],Skills[Barrier_H],"")+XLOOKUP($S8,Skills[Action],Skills[Barrier_H],"")+XLOOKUP($U8,Skills[Action],Skills[Barrier_H],"")</f>
        <v>0</v>
      </c>
      <c r="I8" s="6">
        <f t="array" ref="I8">XLOOKUP($K8,Skills[Action],Skills[H],"")+XLOOKUP($M8,Skills[Action],Skills[H],"")+XLOOKUP($O8,Skills[Action],Skills[H],"")+XLOOKUP($Q8,Skills[Action],Skills[H],"")+XLOOKUP($S8,Skills[Action],Skills[H],"")+XLOOKUP($U8,Skills[Action],Skills[H],"")</f>
        <v>0</v>
      </c>
      <c r="J8" s="6">
        <f t="array" ref="J8">XLOOKUP($K8,Skills[Action],Skills[HOT_H(tick)],"")+XLOOKUP($M8,Skills[Action],Skills[HOT_H(tick)],"")+XLOOKUP($O8,Skills[Action],Skills[HOT_H(tick)],"")+XLOOKUP($Q8,Skills[Action],Skills[HOT_H(tick)],"")+XLOOKUP($S8,Skills[Action],Skills[HOT_H(tick)],"")+XLOOKUP($U8,Skills[Action],Skills[HOT_H(tick)],"")</f>
        <v>0</v>
      </c>
      <c r="K8" s="6"/>
      <c r="L8" s="5" t="str">
        <f t="array" ref="L8">XLOOKUP(K8,Skills[Action],Skills[Icon],"")</f>
        <v/>
      </c>
      <c r="M8" s="6"/>
      <c r="N8" s="5" t="str">
        <f t="array" ref="N8">XLOOKUP(M8,Skills[Action],Skills[Icon],"")</f>
        <v/>
      </c>
      <c r="O8" s="6"/>
      <c r="P8" s="5" t="str">
        <f t="array" ref="P8">XLOOKUP(O8,Skills[Action],Skills[Icon],"")</f>
        <v/>
      </c>
      <c r="Q8" s="6"/>
      <c r="R8" s="5" t="str">
        <f t="array" ref="R8">XLOOKUP(Q8,Skills[Action],Skills[Icon],"")</f>
        <v/>
      </c>
      <c r="S8" s="6"/>
      <c r="T8" s="5" t="str">
        <f t="array" ref="T8">XLOOKUP(S8,Skills[Action],Skills[Icon],"")</f>
        <v/>
      </c>
      <c r="U8" s="6"/>
      <c r="V8" s="5" t="str">
        <f t="array" ref="V8">XLOOKUP(U8,Skills[Action],Skills[Icon],"")</f>
        <v/>
      </c>
    </row>
    <row r="9">
      <c r="C9" s="7">
        <v>8.101851851851852E-5</v>
      </c>
      <c r="D9" s="1" t="s">
        <v>143</v>
      </c>
      <c r="E9" s="1">
        <v>10000.0</v>
      </c>
      <c r="F9" s="7"/>
      <c r="G9" s="8">
        <f t="shared" si="1"/>
        <v>167816</v>
      </c>
      <c r="H9" s="6">
        <f t="array" ref="H9">XLOOKUP($K9,Skills[Action],Skills[Barrier_H],"")+XLOOKUP($M9,Skills[Action],Skills[Barrier_H],"")+XLOOKUP($O9,Skills[Action],Skills[Barrier_H],"")+XLOOKUP($Q9,Skills[Action],Skills[Barrier_H],"")+XLOOKUP($S9,Skills[Action],Skills[Barrier_H],"")+XLOOKUP($U9,Skills[Action],Skills[Barrier_H],"")</f>
        <v>0</v>
      </c>
      <c r="I9" s="6">
        <f t="array" ref="I9">XLOOKUP($K9,Skills[Action],Skills[H],"")+XLOOKUP($M9,Skills[Action],Skills[H],"")+XLOOKUP($O9,Skills[Action],Skills[H],"")+XLOOKUP($Q9,Skills[Action],Skills[H],"")+XLOOKUP($S9,Skills[Action],Skills[H],"")+XLOOKUP($U9,Skills[Action],Skills[H],"")</f>
        <v>0</v>
      </c>
      <c r="J9" s="6">
        <f t="array" ref="J9">XLOOKUP($K9,Skills[Action],Skills[HOT_H(tick)],"")+XLOOKUP($M9,Skills[Action],Skills[HOT_H(tick)],"")+XLOOKUP($O9,Skills[Action],Skills[HOT_H(tick)],"")+XLOOKUP($Q9,Skills[Action],Skills[HOT_H(tick)],"")+XLOOKUP($S9,Skills[Action],Skills[HOT_H(tick)],"")+XLOOKUP($U9,Skills[Action],Skills[HOT_H(tick)],"")</f>
        <v>0</v>
      </c>
      <c r="K9" s="6"/>
      <c r="L9" s="5" t="str">
        <f t="array" ref="L9">XLOOKUP(K9,Skills[Action],Skills[Icon],"")</f>
        <v/>
      </c>
      <c r="M9" s="6"/>
      <c r="N9" s="5" t="str">
        <f t="array" ref="N9">XLOOKUP(M9,Skills[Action],Skills[Icon],"")</f>
        <v/>
      </c>
      <c r="O9" s="6"/>
      <c r="P9" s="5" t="str">
        <f t="array" ref="P9">XLOOKUP(O9,Skills[Action],Skills[Icon],"")</f>
        <v/>
      </c>
      <c r="Q9" s="6"/>
      <c r="R9" s="5" t="str">
        <f t="array" ref="R9">XLOOKUP(Q9,Skills[Action],Skills[Icon],"")</f>
        <v/>
      </c>
      <c r="S9" s="6"/>
      <c r="T9" s="5" t="str">
        <f t="array" ref="T9">XLOOKUP(S9,Skills[Action],Skills[Icon],"")</f>
        <v/>
      </c>
      <c r="U9" s="6"/>
      <c r="V9" s="5" t="str">
        <f t="array" ref="V9">XLOOKUP(U9,Skills[Action],Skills[Icon],"")</f>
        <v/>
      </c>
    </row>
    <row r="10">
      <c r="C10" s="7">
        <v>9.259259259259259E-5</v>
      </c>
      <c r="E10" s="7"/>
      <c r="F10" s="7"/>
      <c r="G10" s="8">
        <f t="shared" si="1"/>
        <v>167816</v>
      </c>
      <c r="H10" s="6">
        <f t="array" ref="H10">XLOOKUP($K10,Skills[Action],Skills[Barrier_H],"")+XLOOKUP($M10,Skills[Action],Skills[Barrier_H],"")+XLOOKUP($O10,Skills[Action],Skills[Barrier_H],"")+XLOOKUP($Q10,Skills[Action],Skills[Barrier_H],"")+XLOOKUP($S10,Skills[Action],Skills[Barrier_H],"")+XLOOKUP($U10,Skills[Action],Skills[Barrier_H],"")</f>
        <v>0</v>
      </c>
      <c r="I10" s="6">
        <f t="array" ref="I10">XLOOKUP($K10,Skills[Action],Skills[H],"")+XLOOKUP($M10,Skills[Action],Skills[H],"")+XLOOKUP($O10,Skills[Action],Skills[H],"")+XLOOKUP($Q10,Skills[Action],Skills[H],"")+XLOOKUP($S10,Skills[Action],Skills[H],"")+XLOOKUP($U10,Skills[Action],Skills[H],"")</f>
        <v>0</v>
      </c>
      <c r="J10" s="6">
        <f t="array" ref="J10">XLOOKUP($K10,Skills[Action],Skills[HOT_H(tick)],"")+XLOOKUP($M10,Skills[Action],Skills[HOT_H(tick)],"")+XLOOKUP($O10,Skills[Action],Skills[HOT_H(tick)],"")+XLOOKUP($Q10,Skills[Action],Skills[HOT_H(tick)],"")+XLOOKUP($S10,Skills[Action],Skills[HOT_H(tick)],"")+XLOOKUP($U10,Skills[Action],Skills[HOT_H(tick)],"")</f>
        <v>0</v>
      </c>
      <c r="K10" s="6"/>
      <c r="L10" s="5" t="str">
        <f t="array" ref="L10">XLOOKUP(K10,Skills[Action],Skills[Icon],"")</f>
        <v/>
      </c>
      <c r="M10" s="6"/>
      <c r="N10" s="5" t="str">
        <f t="array" ref="N10">XLOOKUP(M10,Skills[Action],Skills[Icon],"")</f>
        <v/>
      </c>
      <c r="O10" s="6"/>
      <c r="P10" s="5" t="str">
        <f t="array" ref="P10">XLOOKUP(O10,Skills[Action],Skills[Icon],"")</f>
        <v/>
      </c>
      <c r="Q10" s="6"/>
      <c r="R10" s="5" t="str">
        <f t="array" ref="R10">XLOOKUP(Q10,Skills[Action],Skills[Icon],"")</f>
        <v/>
      </c>
      <c r="S10" s="6"/>
      <c r="T10" s="5" t="str">
        <f t="array" ref="T10">XLOOKUP(S10,Skills[Action],Skills[Icon],"")</f>
        <v/>
      </c>
      <c r="U10" s="6"/>
      <c r="V10" s="5" t="str">
        <f t="array" ref="V10">XLOOKUP(U10,Skills[Action],Skills[Icon],"")</f>
        <v/>
      </c>
    </row>
    <row r="11">
      <c r="C11" s="7">
        <v>1.0416666666666667E-4</v>
      </c>
      <c r="E11" s="1">
        <v>10000.0</v>
      </c>
      <c r="F11" s="7"/>
      <c r="G11" s="8">
        <f t="shared" si="1"/>
        <v>157816</v>
      </c>
      <c r="H11" s="6">
        <f t="array" ref="H11">XLOOKUP($K11,Skills[Action],Skills[Barrier_H],"")+XLOOKUP($M11,Skills[Action],Skills[Barrier_H],"")+XLOOKUP($O11,Skills[Action],Skills[Barrier_H],"")+XLOOKUP($Q11,Skills[Action],Skills[Barrier_H],"")+XLOOKUP($S11,Skills[Action],Skills[Barrier_H],"")+XLOOKUP($U11,Skills[Action],Skills[Barrier_H],"")</f>
        <v>0</v>
      </c>
      <c r="I11" s="6">
        <f t="array" ref="I11">XLOOKUP($K11,Skills[Action],Skills[H],"")+XLOOKUP($M11,Skills[Action],Skills[H],"")+XLOOKUP($O11,Skills[Action],Skills[H],"")+XLOOKUP($Q11,Skills[Action],Skills[H],"")+XLOOKUP($S11,Skills[Action],Skills[H],"")+XLOOKUP($U11,Skills[Action],Skills[H],"")</f>
        <v>0</v>
      </c>
      <c r="J11" s="6">
        <f t="array" ref="J11">XLOOKUP($K11,Skills[Action],Skills[HOT_H(tick)],"")+XLOOKUP($M11,Skills[Action],Skills[HOT_H(tick)],"")+XLOOKUP($O11,Skills[Action],Skills[HOT_H(tick)],"")+XLOOKUP($Q11,Skills[Action],Skills[HOT_H(tick)],"")+XLOOKUP($S11,Skills[Action],Skills[HOT_H(tick)],"")+XLOOKUP($U11,Skills[Action],Skills[HOT_H(tick)],"")</f>
        <v>0</v>
      </c>
      <c r="K11" s="6"/>
      <c r="L11" s="5" t="str">
        <f t="array" ref="L11">XLOOKUP(K11,Skills[Action],Skills[Icon],"")</f>
        <v/>
      </c>
      <c r="M11" s="6"/>
      <c r="N11" s="5" t="str">
        <f t="array" ref="N11">XLOOKUP(M11,Skills[Action],Skills[Icon],"")</f>
        <v/>
      </c>
      <c r="O11" s="6"/>
      <c r="P11" s="5" t="str">
        <f t="array" ref="P11">XLOOKUP(O11,Skills[Action],Skills[Icon],"")</f>
        <v/>
      </c>
      <c r="Q11" s="6"/>
      <c r="R11" s="5" t="str">
        <f t="array" ref="R11">XLOOKUP(Q11,Skills[Action],Skills[Icon],"")</f>
        <v/>
      </c>
      <c r="S11" s="6"/>
      <c r="T11" s="5" t="str">
        <f t="array" ref="T11">XLOOKUP(S11,Skills[Action],Skills[Icon],"")</f>
        <v/>
      </c>
      <c r="U11" s="6"/>
      <c r="V11" s="5" t="str">
        <f t="array" ref="V11">XLOOKUP(U11,Skills[Action],Skills[Icon],"")</f>
        <v/>
      </c>
    </row>
    <row r="12">
      <c r="C12" s="7">
        <v>1.1574074074074075E-4</v>
      </c>
      <c r="E12" s="7"/>
      <c r="F12" s="7"/>
      <c r="G12" s="8">
        <f t="shared" si="1"/>
        <v>157816</v>
      </c>
      <c r="H12" s="6">
        <f t="array" ref="H12">XLOOKUP($K12,Skills[Action],Skills[Barrier_H],"")+XLOOKUP($M12,Skills[Action],Skills[Barrier_H],"")+XLOOKUP($O12,Skills[Action],Skills[Barrier_H],"")+XLOOKUP($Q12,Skills[Action],Skills[Barrier_H],"")+XLOOKUP($S12,Skills[Action],Skills[Barrier_H],"")+XLOOKUP($U12,Skills[Action],Skills[Barrier_H],"")</f>
        <v>0</v>
      </c>
      <c r="I12" s="6">
        <f t="array" ref="I12">XLOOKUP($K12,Skills[Action],Skills[H],"")+XLOOKUP($M12,Skills[Action],Skills[H],"")+XLOOKUP($O12,Skills[Action],Skills[H],"")+XLOOKUP($Q12,Skills[Action],Skills[H],"")+XLOOKUP($S12,Skills[Action],Skills[H],"")+XLOOKUP($U12,Skills[Action],Skills[H],"")</f>
        <v>0</v>
      </c>
      <c r="J12" s="6">
        <f t="array" ref="J12">XLOOKUP($K12,Skills[Action],Skills[HOT_H(tick)],"")+XLOOKUP($M12,Skills[Action],Skills[HOT_H(tick)],"")+XLOOKUP($O12,Skills[Action],Skills[HOT_H(tick)],"")+XLOOKUP($Q12,Skills[Action],Skills[HOT_H(tick)],"")+XLOOKUP($S12,Skills[Action],Skills[HOT_H(tick)],"")+XLOOKUP($U12,Skills[Action],Skills[HOT_H(tick)],"")</f>
        <v>0</v>
      </c>
      <c r="K12" s="6"/>
      <c r="L12" s="5" t="str">
        <f t="array" ref="L12">XLOOKUP(K12,Skills[Action],Skills[Icon],"")</f>
        <v/>
      </c>
      <c r="M12" s="6"/>
      <c r="N12" s="5" t="str">
        <f t="array" ref="N12">XLOOKUP(M12,Skills[Action],Skills[Icon],"")</f>
        <v/>
      </c>
      <c r="O12" s="6"/>
      <c r="P12" s="5" t="str">
        <f t="array" ref="P12">XLOOKUP(O12,Skills[Action],Skills[Icon],"")</f>
        <v/>
      </c>
      <c r="Q12" s="6"/>
      <c r="R12" s="5" t="str">
        <f t="array" ref="R12">XLOOKUP(Q12,Skills[Action],Skills[Icon],"")</f>
        <v/>
      </c>
      <c r="S12" s="6"/>
      <c r="T12" s="5" t="str">
        <f t="array" ref="T12">XLOOKUP(S12,Skills[Action],Skills[Icon],"")</f>
        <v/>
      </c>
      <c r="U12" s="6"/>
      <c r="V12" s="5" t="str">
        <f t="array" ref="V12">XLOOKUP(U12,Skills[Action],Skills[Icon],"")</f>
        <v/>
      </c>
    </row>
    <row r="13">
      <c r="C13" s="7">
        <v>1.273148148148148E-4</v>
      </c>
      <c r="E13" s="1">
        <v>10000.0</v>
      </c>
      <c r="F13" s="7"/>
      <c r="G13" s="8">
        <f t="shared" si="1"/>
        <v>147816</v>
      </c>
      <c r="H13" s="6">
        <f t="array" ref="H13">XLOOKUP($K13,Skills[Action],Skills[Barrier_H],"")+XLOOKUP($M13,Skills[Action],Skills[Barrier_H],"")+XLOOKUP($O13,Skills[Action],Skills[Barrier_H],"")+XLOOKUP($Q13,Skills[Action],Skills[Barrier_H],"")+XLOOKUP($S13,Skills[Action],Skills[Barrier_H],"")+XLOOKUP($U13,Skills[Action],Skills[Barrier_H],"")</f>
        <v>0</v>
      </c>
      <c r="I13" s="6">
        <f t="array" ref="I13">XLOOKUP($K13,Skills[Action],Skills[H],"")+XLOOKUP($M13,Skills[Action],Skills[H],"")+XLOOKUP($O13,Skills[Action],Skills[H],"")+XLOOKUP($Q13,Skills[Action],Skills[H],"")+XLOOKUP($S13,Skills[Action],Skills[H],"")+XLOOKUP($U13,Skills[Action],Skills[H],"")</f>
        <v>0</v>
      </c>
      <c r="J13" s="6">
        <f t="array" ref="J13">XLOOKUP($K13,Skills[Action],Skills[HOT_H(tick)],"")+XLOOKUP($M13,Skills[Action],Skills[HOT_H(tick)],"")+XLOOKUP($O13,Skills[Action],Skills[HOT_H(tick)],"")+XLOOKUP($Q13,Skills[Action],Skills[HOT_H(tick)],"")+XLOOKUP($S13,Skills[Action],Skills[HOT_H(tick)],"")+XLOOKUP($U13,Skills[Action],Skills[HOT_H(tick)],"")</f>
        <v>0</v>
      </c>
      <c r="K13" s="6"/>
      <c r="L13" s="5" t="str">
        <f t="array" ref="L13">XLOOKUP(K13,Skills[Action],Skills[Icon],"")</f>
        <v/>
      </c>
      <c r="M13" s="6"/>
      <c r="N13" s="5" t="str">
        <f t="array" ref="N13">XLOOKUP(M13,Skills[Action],Skills[Icon],"")</f>
        <v/>
      </c>
      <c r="O13" s="6"/>
      <c r="P13" s="5" t="str">
        <f t="array" ref="P13">XLOOKUP(O13,Skills[Action],Skills[Icon],"")</f>
        <v/>
      </c>
      <c r="Q13" s="6"/>
      <c r="R13" s="5" t="str">
        <f t="array" ref="R13">XLOOKUP(Q13,Skills[Action],Skills[Icon],"")</f>
        <v/>
      </c>
      <c r="S13" s="6"/>
      <c r="T13" s="5" t="str">
        <f t="array" ref="T13">XLOOKUP(S13,Skills[Action],Skills[Icon],"")</f>
        <v/>
      </c>
      <c r="U13" s="6"/>
      <c r="V13" s="5" t="str">
        <f t="array" ref="V13">XLOOKUP(U13,Skills[Action],Skills[Icon],"")</f>
        <v/>
      </c>
    </row>
    <row r="14">
      <c r="C14" s="7">
        <v>1.388888888888889E-4</v>
      </c>
      <c r="E14" s="7"/>
      <c r="F14" s="7"/>
      <c r="G14" s="8">
        <f t="shared" si="1"/>
        <v>147816</v>
      </c>
      <c r="H14" s="6">
        <f t="array" ref="H14">XLOOKUP($K14,Skills[Action],Skills[Barrier_H],"")+XLOOKUP($M14,Skills[Action],Skills[Barrier_H],"")+XLOOKUP($O14,Skills[Action],Skills[Barrier_H],"")+XLOOKUP($Q14,Skills[Action],Skills[Barrier_H],"")+XLOOKUP($S14,Skills[Action],Skills[Barrier_H],"")+XLOOKUP($U14,Skills[Action],Skills[Barrier_H],"")</f>
        <v>0</v>
      </c>
      <c r="I14" s="6">
        <f t="array" ref="I14">XLOOKUP($K14,Skills[Action],Skills[H],"")+XLOOKUP($M14,Skills[Action],Skills[H],"")+XLOOKUP($O14,Skills[Action],Skills[H],"")+XLOOKUP($Q14,Skills[Action],Skills[H],"")+XLOOKUP($S14,Skills[Action],Skills[H],"")+XLOOKUP($U14,Skills[Action],Skills[H],"")</f>
        <v>0</v>
      </c>
      <c r="J14" s="6">
        <f t="array" ref="J14">XLOOKUP($K14,Skills[Action],Skills[HOT_H(tick)],"")+XLOOKUP($M14,Skills[Action],Skills[HOT_H(tick)],"")+XLOOKUP($O14,Skills[Action],Skills[HOT_H(tick)],"")+XLOOKUP($Q14,Skills[Action],Skills[HOT_H(tick)],"")+XLOOKUP($S14,Skills[Action],Skills[HOT_H(tick)],"")+XLOOKUP($U14,Skills[Action],Skills[HOT_H(tick)],"")</f>
        <v>0</v>
      </c>
      <c r="K14" s="6"/>
      <c r="L14" s="5" t="str">
        <f t="array" ref="L14">XLOOKUP(K14,Skills[Action],Skills[Icon],"")</f>
        <v/>
      </c>
      <c r="M14" s="6"/>
      <c r="N14" s="5" t="str">
        <f t="array" ref="N14">XLOOKUP(M14,Skills[Action],Skills[Icon],"")</f>
        <v/>
      </c>
      <c r="O14" s="6"/>
      <c r="P14" s="5" t="str">
        <f t="array" ref="P14">XLOOKUP(O14,Skills[Action],Skills[Icon],"")</f>
        <v/>
      </c>
      <c r="Q14" s="6"/>
      <c r="R14" s="5" t="str">
        <f t="array" ref="R14">XLOOKUP(Q14,Skills[Action],Skills[Icon],"")</f>
        <v/>
      </c>
      <c r="S14" s="6"/>
      <c r="T14" s="5" t="str">
        <f t="array" ref="T14">XLOOKUP(S14,Skills[Action],Skills[Icon],"")</f>
        <v/>
      </c>
      <c r="U14" s="6"/>
      <c r="V14" s="5" t="str">
        <f t="array" ref="V14">XLOOKUP(U14,Skills[Action],Skills[Icon],"")</f>
        <v/>
      </c>
    </row>
    <row r="15">
      <c r="C15" s="7">
        <v>1.5046296296296297E-4</v>
      </c>
      <c r="E15" s="1">
        <v>70000.0</v>
      </c>
      <c r="F15" s="7"/>
      <c r="G15" s="8">
        <f t="shared" si="1"/>
        <v>77816</v>
      </c>
      <c r="H15" s="6">
        <f t="array" ref="H15">XLOOKUP($K15,Skills[Action],Skills[Barrier_H],"")+XLOOKUP($M15,Skills[Action],Skills[Barrier_H],"")+XLOOKUP($O15,Skills[Action],Skills[Barrier_H],"")+XLOOKUP($Q15,Skills[Action],Skills[Barrier_H],"")+XLOOKUP($S15,Skills[Action],Skills[Barrier_H],"")+XLOOKUP($U15,Skills[Action],Skills[Barrier_H],"")</f>
        <v>0</v>
      </c>
      <c r="I15" s="6">
        <f t="array" ref="I15">XLOOKUP($K15,Skills[Action],Skills[H],"")+XLOOKUP($M15,Skills[Action],Skills[H],"")+XLOOKUP($O15,Skills[Action],Skills[H],"")+XLOOKUP($Q15,Skills[Action],Skills[H],"")+XLOOKUP($S15,Skills[Action],Skills[H],"")+XLOOKUP($U15,Skills[Action],Skills[H],"")</f>
        <v>0</v>
      </c>
      <c r="J15" s="6">
        <f t="array" ref="J15">XLOOKUP($K15,Skills[Action],Skills[HOT_H(tick)],"")+XLOOKUP($M15,Skills[Action],Skills[HOT_H(tick)],"")+XLOOKUP($O15,Skills[Action],Skills[HOT_H(tick)],"")+XLOOKUP($Q15,Skills[Action],Skills[HOT_H(tick)],"")+XLOOKUP($S15,Skills[Action],Skills[HOT_H(tick)],"")+XLOOKUP($U15,Skills[Action],Skills[HOT_H(tick)],"")</f>
        <v>0</v>
      </c>
      <c r="K15" s="6"/>
      <c r="L15" s="5" t="str">
        <f t="array" ref="L15">XLOOKUP(K15,Skills[Action],Skills[Icon],"")</f>
        <v/>
      </c>
      <c r="M15" s="6"/>
      <c r="N15" s="5" t="str">
        <f t="array" ref="N15">XLOOKUP(M15,Skills[Action],Skills[Icon],"")</f>
        <v/>
      </c>
      <c r="O15" s="6"/>
      <c r="P15" s="5" t="str">
        <f t="array" ref="P15">XLOOKUP(O15,Skills[Action],Skills[Icon],"")</f>
        <v/>
      </c>
      <c r="Q15" s="6"/>
      <c r="R15" s="5" t="str">
        <f t="array" ref="R15">XLOOKUP(Q15,Skills[Action],Skills[Icon],"")</f>
        <v/>
      </c>
      <c r="S15" s="6"/>
      <c r="T15" s="5" t="str">
        <f t="array" ref="T15">XLOOKUP(S15,Skills[Action],Skills[Icon],"")</f>
        <v/>
      </c>
      <c r="U15" s="6"/>
      <c r="V15" s="5" t="str">
        <f t="array" ref="V15">XLOOKUP(U15,Skills[Action],Skills[Icon],"")</f>
        <v/>
      </c>
    </row>
    <row r="16">
      <c r="C16" s="7">
        <v>1.6203703703703703E-4</v>
      </c>
      <c r="E16" s="7"/>
      <c r="F16" s="7"/>
      <c r="G16" s="8">
        <f t="shared" si="1"/>
        <v>77816</v>
      </c>
      <c r="H16" s="6">
        <f t="array" ref="H16">XLOOKUP($K16,Skills[Action],Skills[Barrier_H],"")+XLOOKUP($M16,Skills[Action],Skills[Barrier_H],"")+XLOOKUP($O16,Skills[Action],Skills[Barrier_H],"")+XLOOKUP($Q16,Skills[Action],Skills[Barrier_H],"")+XLOOKUP($S16,Skills[Action],Skills[Barrier_H],"")+XLOOKUP($U16,Skills[Action],Skills[Barrier_H],"")</f>
        <v>0</v>
      </c>
      <c r="I16" s="6">
        <f t="array" ref="I16">XLOOKUP($K16,Skills[Action],Skills[H],"")+XLOOKUP($M16,Skills[Action],Skills[H],"")+XLOOKUP($O16,Skills[Action],Skills[H],"")+XLOOKUP($Q16,Skills[Action],Skills[H],"")+XLOOKUP($S16,Skills[Action],Skills[H],"")+XLOOKUP($U16,Skills[Action],Skills[H],"")</f>
        <v>41428</v>
      </c>
      <c r="J16" s="6">
        <f t="array" ref="J16">XLOOKUP($K16,Skills[Action],Skills[HOT_H(tick)],"")+XLOOKUP($M16,Skills[Action],Skills[HOT_H(tick)],"")+XLOOKUP($O16,Skills[Action],Skills[HOT_H(tick)],"")+XLOOKUP($Q16,Skills[Action],Skills[HOT_H(tick)],"")+XLOOKUP($S16,Skills[Action],Skills[HOT_H(tick)],"")+XLOOKUP($U16,Skills[Action],Skills[HOT_H(tick)],"")</f>
        <v>0</v>
      </c>
      <c r="K16" s="1" t="s">
        <v>144</v>
      </c>
      <c r="L16" s="5" t="str">
        <f t="array" ref="L16">XLOOKUP(K16,Skills[Action],Skills[Icon],"")</f>
        <v/>
      </c>
      <c r="M16" s="6"/>
      <c r="N16" s="5" t="str">
        <f t="array" ref="N16">XLOOKUP(M16,Skills[Action],Skills[Icon],"")</f>
        <v/>
      </c>
      <c r="O16" s="6"/>
      <c r="P16" s="5" t="str">
        <f t="array" ref="P16">XLOOKUP(O16,Skills[Action],Skills[Icon],"")</f>
        <v/>
      </c>
      <c r="Q16" s="6"/>
      <c r="R16" s="5" t="str">
        <f t="array" ref="R16">XLOOKUP(Q16,Skills[Action],Skills[Icon],"")</f>
        <v/>
      </c>
      <c r="S16" s="6"/>
      <c r="T16" s="5" t="str">
        <f t="array" ref="T16">XLOOKUP(S16,Skills[Action],Skills[Icon],"")</f>
        <v/>
      </c>
      <c r="U16" s="6"/>
      <c r="V16" s="5" t="str">
        <f t="array" ref="V16">XLOOKUP(U16,Skills[Action],Skills[Icon],"")</f>
        <v/>
      </c>
    </row>
    <row r="17">
      <c r="C17" s="7">
        <v>1.7361111111111112E-4</v>
      </c>
      <c r="E17" s="7"/>
      <c r="F17" s="7"/>
      <c r="G17" s="8">
        <f t="shared" si="1"/>
        <v>77816</v>
      </c>
      <c r="H17" s="6">
        <f t="array" ref="H17">XLOOKUP($K17,Skills[Action],Skills[Barrier_H],"")+XLOOKUP($M17,Skills[Action],Skills[Barrier_H],"")+XLOOKUP($O17,Skills[Action],Skills[Barrier_H],"")+XLOOKUP($Q17,Skills[Action],Skills[Barrier_H],"")+XLOOKUP($S17,Skills[Action],Skills[Barrier_H],"")+XLOOKUP($U17,Skills[Action],Skills[Barrier_H],"")</f>
        <v>0</v>
      </c>
      <c r="I17" s="6">
        <f t="array" ref="I17">XLOOKUP($K17,Skills[Action],Skills[H],"")+XLOOKUP($M17,Skills[Action],Skills[H],"")+XLOOKUP($O17,Skills[Action],Skills[H],"")+XLOOKUP($Q17,Skills[Action],Skills[H],"")+XLOOKUP($S17,Skills[Action],Skills[H],"")+XLOOKUP($U17,Skills[Action],Skills[H],"")</f>
        <v>0</v>
      </c>
      <c r="J17" s="6">
        <f t="array" ref="J17">XLOOKUP($K17,Skills[Action],Skills[HOT_H(tick)],"")+XLOOKUP($M17,Skills[Action],Skills[HOT_H(tick)],"")+XLOOKUP($O17,Skills[Action],Skills[HOT_H(tick)],"")+XLOOKUP($Q17,Skills[Action],Skills[HOT_H(tick)],"")+XLOOKUP($S17,Skills[Action],Skills[HOT_H(tick)],"")+XLOOKUP($U17,Skills[Action],Skills[HOT_H(tick)],"")</f>
        <v>0</v>
      </c>
      <c r="K17" s="6"/>
      <c r="L17" s="5" t="str">
        <f t="array" ref="L17">XLOOKUP(K17,Skills[Action],Skills[Icon],"")</f>
        <v/>
      </c>
      <c r="M17" s="6"/>
      <c r="N17" s="5" t="str">
        <f t="array" ref="N17">XLOOKUP(M17,Skills[Action],Skills[Icon],"")</f>
        <v/>
      </c>
      <c r="O17" s="6"/>
      <c r="P17" s="5" t="str">
        <f t="array" ref="P17">XLOOKUP(O17,Skills[Action],Skills[Icon],"")</f>
        <v/>
      </c>
      <c r="Q17" s="6"/>
      <c r="R17" s="5" t="str">
        <f t="array" ref="R17">XLOOKUP(Q17,Skills[Action],Skills[Icon],"")</f>
        <v/>
      </c>
      <c r="S17" s="6"/>
      <c r="T17" s="5" t="str">
        <f t="array" ref="T17">XLOOKUP(S17,Skills[Action],Skills[Icon],"")</f>
        <v/>
      </c>
      <c r="U17" s="6"/>
      <c r="V17" s="5" t="str">
        <f t="array" ref="V17">XLOOKUP(U17,Skills[Action],Skills[Icon],"")</f>
        <v/>
      </c>
    </row>
    <row r="18">
      <c r="C18" s="7">
        <v>1.8518518518518518E-4</v>
      </c>
      <c r="G18" s="8">
        <f t="shared" si="1"/>
        <v>77816</v>
      </c>
      <c r="H18" s="6">
        <f t="array" ref="H18">XLOOKUP($K18,Skills[Action],Skills[Barrier_H],"")+XLOOKUP($M18,Skills[Action],Skills[Barrier_H],"")+XLOOKUP($O18,Skills[Action],Skills[Barrier_H],"")+XLOOKUP($Q18,Skills[Action],Skills[Barrier_H],"")+XLOOKUP($S18,Skills[Action],Skills[Barrier_H],"")+XLOOKUP($U18,Skills[Action],Skills[Barrier_H],"")</f>
        <v>0</v>
      </c>
      <c r="I18" s="6">
        <f t="array" ref="I18">XLOOKUP($K18,Skills[Action],Skills[H],"")+XLOOKUP($M18,Skills[Action],Skills[H],"")+XLOOKUP($O18,Skills[Action],Skills[H],"")+XLOOKUP($Q18,Skills[Action],Skills[H],"")+XLOOKUP($S18,Skills[Action],Skills[H],"")+XLOOKUP($U18,Skills[Action],Skills[H],"")</f>
        <v>0</v>
      </c>
      <c r="J18" s="6">
        <f t="array" ref="J18">XLOOKUP($K18,Skills[Action],Skills[HOT_H(tick)],"")+XLOOKUP($M18,Skills[Action],Skills[HOT_H(tick)],"")+XLOOKUP($O18,Skills[Action],Skills[HOT_H(tick)],"")+XLOOKUP($Q18,Skills[Action],Skills[HOT_H(tick)],"")+XLOOKUP($S18,Skills[Action],Skills[HOT_H(tick)],"")+XLOOKUP($U18,Skills[Action],Skills[HOT_H(tick)],"")</f>
        <v>0</v>
      </c>
      <c r="K18" s="6"/>
      <c r="L18" s="5" t="str">
        <f t="array" ref="L18">XLOOKUP(K18,Skills[Action],Skills[Icon],"")</f>
        <v/>
      </c>
      <c r="M18" s="6"/>
      <c r="N18" s="5" t="str">
        <f t="array" ref="N18">XLOOKUP(M18,Skills[Action],Skills[Icon],"")</f>
        <v/>
      </c>
      <c r="O18" s="6"/>
      <c r="P18" s="5" t="str">
        <f t="array" ref="P18">XLOOKUP(O18,Skills[Action],Skills[Icon],"")</f>
        <v/>
      </c>
      <c r="Q18" s="6"/>
      <c r="R18" s="5" t="str">
        <f t="array" ref="R18">XLOOKUP(Q18,Skills[Action],Skills[Icon],"")</f>
        <v/>
      </c>
      <c r="S18" s="6"/>
      <c r="T18" s="5" t="str">
        <f t="array" ref="T18">XLOOKUP(S18,Skills[Action],Skills[Icon],"")</f>
        <v/>
      </c>
      <c r="U18" s="6"/>
      <c r="V18" s="5" t="str">
        <f t="array" ref="V18">XLOOKUP(U18,Skills[Action],Skills[Icon],"")</f>
        <v/>
      </c>
    </row>
    <row r="19">
      <c r="C19" s="7">
        <v>1.9675925925925926E-4</v>
      </c>
      <c r="G19" s="8">
        <f t="shared" si="1"/>
        <v>77816</v>
      </c>
      <c r="H19" s="6">
        <f t="array" ref="H19">XLOOKUP($K19,Skills[Action],Skills[Barrier_H],"")+XLOOKUP($M19,Skills[Action],Skills[Barrier_H],"")+XLOOKUP($O19,Skills[Action],Skills[Barrier_H],"")+XLOOKUP($Q19,Skills[Action],Skills[Barrier_H],"")+XLOOKUP($S19,Skills[Action],Skills[Barrier_H],"")+XLOOKUP($U19,Skills[Action],Skills[Barrier_H],"")</f>
        <v>0</v>
      </c>
      <c r="I19" s="6">
        <f t="array" ref="I19">XLOOKUP($K19,Skills[Action],Skills[H],"")+XLOOKUP($M19,Skills[Action],Skills[H],"")+XLOOKUP($O19,Skills[Action],Skills[H],"")+XLOOKUP($Q19,Skills[Action],Skills[H],"")+XLOOKUP($S19,Skills[Action],Skills[H],"")+XLOOKUP($U19,Skills[Action],Skills[H],"")</f>
        <v>0</v>
      </c>
      <c r="J19" s="6">
        <f t="array" ref="J19">XLOOKUP($K19,Skills[Action],Skills[HOT_H(tick)],"")+XLOOKUP($M19,Skills[Action],Skills[HOT_H(tick)],"")+XLOOKUP($O19,Skills[Action],Skills[HOT_H(tick)],"")+XLOOKUP($Q19,Skills[Action],Skills[HOT_H(tick)],"")+XLOOKUP($S19,Skills[Action],Skills[HOT_H(tick)],"")+XLOOKUP($U19,Skills[Action],Skills[HOT_H(tick)],"")</f>
        <v>0</v>
      </c>
      <c r="K19" s="6"/>
      <c r="L19" s="5" t="str">
        <f t="array" ref="L19">XLOOKUP(K19,Skills[Action],Skills[Icon],"")</f>
        <v/>
      </c>
      <c r="M19" s="6"/>
      <c r="N19" s="5" t="str">
        <f t="array" ref="N19">XLOOKUP(M19,Skills[Action],Skills[Icon],"")</f>
        <v/>
      </c>
      <c r="O19" s="6"/>
      <c r="P19" s="5" t="str">
        <f t="array" ref="P19">XLOOKUP(O19,Skills[Action],Skills[Icon],"")</f>
        <v/>
      </c>
      <c r="Q19" s="6"/>
      <c r="R19" s="5" t="str">
        <f t="array" ref="R19">XLOOKUP(Q19,Skills[Action],Skills[Icon],"")</f>
        <v/>
      </c>
      <c r="S19" s="6"/>
      <c r="T19" s="5" t="str">
        <f t="array" ref="T19">XLOOKUP(S19,Skills[Action],Skills[Icon],"")</f>
        <v/>
      </c>
      <c r="U19" s="6"/>
      <c r="V19" s="5" t="str">
        <f t="array" ref="V19">XLOOKUP(U19,Skills[Action],Skills[Icon],"")</f>
        <v/>
      </c>
    </row>
    <row r="20">
      <c r="C20" s="7">
        <v>2.0833333333333335E-4</v>
      </c>
      <c r="G20" s="8">
        <f t="shared" si="1"/>
        <v>77816</v>
      </c>
      <c r="H20" s="6">
        <f t="array" ref="H20">XLOOKUP($K20,Skills[Action],Skills[Barrier_H],"")+XLOOKUP($M20,Skills[Action],Skills[Barrier_H],"")+XLOOKUP($O20,Skills[Action],Skills[Barrier_H],"")+XLOOKUP($Q20,Skills[Action],Skills[Barrier_H],"")+XLOOKUP($S20,Skills[Action],Skills[Barrier_H],"")+XLOOKUP($U20,Skills[Action],Skills[Barrier_H],"")</f>
        <v>0</v>
      </c>
      <c r="I20" s="6">
        <f t="array" ref="I20">XLOOKUP($K20,Skills[Action],Skills[H],"")+XLOOKUP($M20,Skills[Action],Skills[H],"")+XLOOKUP($O20,Skills[Action],Skills[H],"")+XLOOKUP($Q20,Skills[Action],Skills[H],"")+XLOOKUP($S20,Skills[Action],Skills[H],"")+XLOOKUP($U20,Skills[Action],Skills[H],"")</f>
        <v>0</v>
      </c>
      <c r="J20" s="6">
        <f t="array" ref="J20">XLOOKUP($K20,Skills[Action],Skills[HOT_H(tick)],"")+XLOOKUP($M20,Skills[Action],Skills[HOT_H(tick)],"")+XLOOKUP($O20,Skills[Action],Skills[HOT_H(tick)],"")+XLOOKUP($Q20,Skills[Action],Skills[HOT_H(tick)],"")+XLOOKUP($S20,Skills[Action],Skills[HOT_H(tick)],"")+XLOOKUP($U20,Skills[Action],Skills[HOT_H(tick)],"")</f>
        <v>0</v>
      </c>
      <c r="K20" s="6"/>
      <c r="L20" s="5" t="str">
        <f t="array" ref="L20">XLOOKUP(K20,Skills[Action],Skills[Icon],"")</f>
        <v/>
      </c>
      <c r="M20" s="6"/>
      <c r="N20" s="5" t="str">
        <f t="array" ref="N20">XLOOKUP(M20,Skills[Action],Skills[Icon],"")</f>
        <v/>
      </c>
      <c r="O20" s="6"/>
      <c r="P20" s="5" t="str">
        <f t="array" ref="P20">XLOOKUP(O20,Skills[Action],Skills[Icon],"")</f>
        <v/>
      </c>
      <c r="Q20" s="6"/>
      <c r="R20" s="5" t="str">
        <f t="array" ref="R20">XLOOKUP(Q20,Skills[Action],Skills[Icon],"")</f>
        <v/>
      </c>
      <c r="S20" s="6"/>
      <c r="T20" s="5" t="str">
        <f t="array" ref="T20">XLOOKUP(S20,Skills[Action],Skills[Icon],"")</f>
        <v/>
      </c>
      <c r="U20" s="6"/>
      <c r="V20" s="5" t="str">
        <f t="array" ref="V20">XLOOKUP(U20,Skills[Action],Skills[Icon],"")</f>
        <v/>
      </c>
    </row>
    <row r="21">
      <c r="C21" s="7">
        <v>2.199074074074074E-4</v>
      </c>
      <c r="G21" s="8">
        <f t="shared" si="1"/>
        <v>77816</v>
      </c>
      <c r="H21" s="6">
        <f t="array" ref="H21">XLOOKUP($K21,Skills[Action],Skills[Barrier_H],"")+XLOOKUP($M21,Skills[Action],Skills[Barrier_H],"")+XLOOKUP($O21,Skills[Action],Skills[Barrier_H],"")+XLOOKUP($Q21,Skills[Action],Skills[Barrier_H],"")+XLOOKUP($S21,Skills[Action],Skills[Barrier_H],"")+XLOOKUP($U21,Skills[Action],Skills[Barrier_H],"")</f>
        <v>0</v>
      </c>
      <c r="I21" s="6">
        <f t="array" ref="I21">XLOOKUP($K21,Skills[Action],Skills[H],"")+XLOOKUP($M21,Skills[Action],Skills[H],"")+XLOOKUP($O21,Skills[Action],Skills[H],"")+XLOOKUP($Q21,Skills[Action],Skills[H],"")+XLOOKUP($S21,Skills[Action],Skills[H],"")+XLOOKUP($U21,Skills[Action],Skills[H],"")</f>
        <v>0</v>
      </c>
      <c r="J21" s="6">
        <f t="array" ref="J21">XLOOKUP($K21,Skills[Action],Skills[HOT_H(tick)],"")+XLOOKUP($M21,Skills[Action],Skills[HOT_H(tick)],"")+XLOOKUP($O21,Skills[Action],Skills[HOT_H(tick)],"")+XLOOKUP($Q21,Skills[Action],Skills[HOT_H(tick)],"")+XLOOKUP($S21,Skills[Action],Skills[HOT_H(tick)],"")+XLOOKUP($U21,Skills[Action],Skills[HOT_H(tick)],"")</f>
        <v>0</v>
      </c>
      <c r="K21" s="6"/>
      <c r="L21" s="5" t="str">
        <f t="array" ref="L21">XLOOKUP(K21,Skills[Action],Skills[Icon],"")</f>
        <v/>
      </c>
      <c r="M21" s="6"/>
      <c r="N21" s="5" t="str">
        <f t="array" ref="N21">XLOOKUP(M21,Skills[Action],Skills[Icon],"")</f>
        <v/>
      </c>
      <c r="O21" s="6"/>
      <c r="P21" s="5" t="str">
        <f t="array" ref="P21">XLOOKUP(O21,Skills[Action],Skills[Icon],"")</f>
        <v/>
      </c>
      <c r="Q21" s="6"/>
      <c r="R21" s="5" t="str">
        <f t="array" ref="R21">XLOOKUP(Q21,Skills[Action],Skills[Icon],"")</f>
        <v/>
      </c>
      <c r="S21" s="6"/>
      <c r="T21" s="5" t="str">
        <f t="array" ref="T21">XLOOKUP(S21,Skills[Action],Skills[Icon],"")</f>
        <v/>
      </c>
      <c r="U21" s="6"/>
      <c r="V21" s="5" t="str">
        <f t="array" ref="V21">XLOOKUP(U21,Skills[Action],Skills[Icon],"")</f>
        <v/>
      </c>
    </row>
    <row r="22">
      <c r="C22" s="7">
        <v>2.314814814814815E-4</v>
      </c>
      <c r="G22" s="8">
        <f t="shared" si="1"/>
        <v>77816</v>
      </c>
      <c r="H22" s="6">
        <f t="array" ref="H22">XLOOKUP($K22,Skills[Action],Skills[Barrier_H],"")+XLOOKUP($M22,Skills[Action],Skills[Barrier_H],"")+XLOOKUP($O22,Skills[Action],Skills[Barrier_H],"")+XLOOKUP($Q22,Skills[Action],Skills[Barrier_H],"")+XLOOKUP($S22,Skills[Action],Skills[Barrier_H],"")+XLOOKUP($U22,Skills[Action],Skills[Barrier_H],"")</f>
        <v>0</v>
      </c>
      <c r="I22" s="6">
        <f t="array" ref="I22">XLOOKUP($K22,Skills[Action],Skills[H],"")+XLOOKUP($M22,Skills[Action],Skills[H],"")+XLOOKUP($O22,Skills[Action],Skills[H],"")+XLOOKUP($Q22,Skills[Action],Skills[H],"")+XLOOKUP($S22,Skills[Action],Skills[H],"")+XLOOKUP($U22,Skills[Action],Skills[H],"")</f>
        <v>0</v>
      </c>
      <c r="J22" s="6">
        <f t="array" ref="J22">XLOOKUP($K22,Skills[Action],Skills[HOT_H(tick)],"")+XLOOKUP($M22,Skills[Action],Skills[HOT_H(tick)],"")+XLOOKUP($O22,Skills[Action],Skills[HOT_H(tick)],"")+XLOOKUP($Q22,Skills[Action],Skills[HOT_H(tick)],"")+XLOOKUP($S22,Skills[Action],Skills[HOT_H(tick)],"")+XLOOKUP($U22,Skills[Action],Skills[HOT_H(tick)],"")</f>
        <v>0</v>
      </c>
      <c r="K22" s="6"/>
      <c r="L22" s="5" t="str">
        <f t="array" ref="L22">XLOOKUP(K22,Skills[Action],Skills[Icon],"")</f>
        <v/>
      </c>
      <c r="M22" s="6"/>
      <c r="N22" s="5" t="str">
        <f t="array" ref="N22">XLOOKUP(M22,Skills[Action],Skills[Icon],"")</f>
        <v/>
      </c>
      <c r="O22" s="6"/>
      <c r="P22" s="5" t="str">
        <f t="array" ref="P22">XLOOKUP(O22,Skills[Action],Skills[Icon],"")</f>
        <v/>
      </c>
      <c r="Q22" s="6"/>
      <c r="R22" s="5" t="str">
        <f t="array" ref="R22">XLOOKUP(Q22,Skills[Action],Skills[Icon],"")</f>
        <v/>
      </c>
      <c r="S22" s="6"/>
      <c r="T22" s="5" t="str">
        <f t="array" ref="T22">XLOOKUP(S22,Skills[Action],Skills[Icon],"")</f>
        <v/>
      </c>
      <c r="U22" s="6"/>
      <c r="V22" s="5" t="str">
        <f t="array" ref="V22">XLOOKUP(U22,Skills[Action],Skills[Icon],"")</f>
        <v/>
      </c>
    </row>
    <row r="23">
      <c r="C23" s="7">
        <v>2.4305555555555555E-4</v>
      </c>
      <c r="D23" s="1" t="s">
        <v>145</v>
      </c>
      <c r="E23" s="9">
        <v>40000.0</v>
      </c>
      <c r="F23" s="9"/>
      <c r="G23" s="8">
        <f t="shared" si="1"/>
        <v>37816</v>
      </c>
      <c r="H23" s="6">
        <f t="array" ref="H23">XLOOKUP($K23,Skills[Action],Skills[Barrier_H],"")+XLOOKUP($M23,Skills[Action],Skills[Barrier_H],"")+XLOOKUP($O23,Skills[Action],Skills[Barrier_H],"")+XLOOKUP($Q23,Skills[Action],Skills[Barrier_H],"")+XLOOKUP($S23,Skills[Action],Skills[Barrier_H],"")+XLOOKUP($U23,Skills[Action],Skills[Barrier_H],"")</f>
        <v>0</v>
      </c>
      <c r="I23" s="6">
        <f t="array" ref="I23">XLOOKUP($K23,Skills[Action],Skills[H],"")+XLOOKUP($M23,Skills[Action],Skills[H],"")+XLOOKUP($O23,Skills[Action],Skills[H],"")+XLOOKUP($Q23,Skills[Action],Skills[H],"")+XLOOKUP($S23,Skills[Action],Skills[H],"")+XLOOKUP($U23,Skills[Action],Skills[H],"")</f>
        <v>0</v>
      </c>
      <c r="J23" s="6">
        <f t="array" ref="J23">XLOOKUP($K23,Skills[Action],Skills[HOT_H(tick)],"")+XLOOKUP($M23,Skills[Action],Skills[HOT_H(tick)],"")+XLOOKUP($O23,Skills[Action],Skills[HOT_H(tick)],"")+XLOOKUP($Q23,Skills[Action],Skills[HOT_H(tick)],"")+XLOOKUP($S23,Skills[Action],Skills[HOT_H(tick)],"")+XLOOKUP($U23,Skills[Action],Skills[HOT_H(tick)],"")</f>
        <v>0</v>
      </c>
      <c r="K23" s="6"/>
      <c r="L23" s="5" t="str">
        <f t="array" ref="L23">XLOOKUP(K23,Skills[Action],Skills[Icon],"")</f>
        <v/>
      </c>
      <c r="M23" s="6"/>
      <c r="N23" s="5" t="str">
        <f t="array" ref="N23">XLOOKUP(M23,Skills[Action],Skills[Icon],"")</f>
        <v/>
      </c>
      <c r="O23" s="6"/>
      <c r="P23" s="5" t="str">
        <f t="array" ref="P23">XLOOKUP(O23,Skills[Action],Skills[Icon],"")</f>
        <v/>
      </c>
      <c r="Q23" s="6"/>
      <c r="R23" s="5" t="str">
        <f t="array" ref="R23">XLOOKUP(Q23,Skills[Action],Skills[Icon],"")</f>
        <v/>
      </c>
      <c r="S23" s="6"/>
      <c r="T23" s="5" t="str">
        <f t="array" ref="T23">XLOOKUP(S23,Skills[Action],Skills[Icon],"")</f>
        <v/>
      </c>
      <c r="U23" s="6"/>
      <c r="V23" s="5" t="str">
        <f t="array" ref="V23">XLOOKUP(U23,Skills[Action],Skills[Icon],"")</f>
        <v/>
      </c>
    </row>
    <row r="24">
      <c r="C24" s="7">
        <v>2.546296296296296E-4</v>
      </c>
      <c r="K24" s="6"/>
      <c r="L24" s="5" t="str">
        <f t="array" ref="L24">XLOOKUP(K24,Skills[Action],Skills[Icon],"")</f>
        <v/>
      </c>
      <c r="M24" s="6"/>
      <c r="N24" s="5" t="str">
        <f t="array" ref="N24">XLOOKUP(M24,Skills[Action],Skills[Icon],"")</f>
        <v/>
      </c>
      <c r="O24" s="6"/>
      <c r="P24" s="5" t="str">
        <f t="array" ref="P24">XLOOKUP(O24,Skills[Action],Skills[Icon],"")</f>
        <v/>
      </c>
      <c r="Q24" s="6"/>
      <c r="R24" s="5" t="str">
        <f t="array" ref="R24">XLOOKUP(Q24,Skills[Action],Skills[Icon],"")</f>
        <v/>
      </c>
      <c r="S24" s="6"/>
      <c r="T24" s="5" t="str">
        <f t="array" ref="T24">XLOOKUP(S24,Skills[Action],Skills[Icon],"")</f>
        <v/>
      </c>
      <c r="U24" s="6"/>
      <c r="V24" s="5" t="str">
        <f t="array" ref="V24">XLOOKUP(U24,Skills[Action],Skills[Icon],"")</f>
        <v/>
      </c>
    </row>
    <row r="25">
      <c r="C25" s="7">
        <v>2.662037037037037E-4</v>
      </c>
      <c r="K25" s="6"/>
      <c r="L25" s="5" t="str">
        <f t="array" ref="L25">XLOOKUP(K25,Skills[Action],Skills[Icon],"")</f>
        <v/>
      </c>
      <c r="M25" s="6"/>
      <c r="N25" s="5" t="str">
        <f t="array" ref="N25">XLOOKUP(M25,Skills[Action],Skills[Icon],"")</f>
        <v/>
      </c>
      <c r="O25" s="6"/>
      <c r="P25" s="5" t="str">
        <f t="array" ref="P25">XLOOKUP(O25,Skills[Action],Skills[Icon],"")</f>
        <v/>
      </c>
      <c r="Q25" s="6"/>
      <c r="R25" s="5" t="str">
        <f t="array" ref="R25">XLOOKUP(Q25,Skills[Action],Skills[Icon],"")</f>
        <v/>
      </c>
      <c r="S25" s="6"/>
      <c r="T25" s="5" t="str">
        <f t="array" ref="T25">XLOOKUP(S25,Skills[Action],Skills[Icon],"")</f>
        <v/>
      </c>
      <c r="U25" s="6"/>
      <c r="V25" s="5" t="str">
        <f t="array" ref="V25">XLOOKUP(U25,Skills[Action],Skills[Icon],"")</f>
        <v/>
      </c>
    </row>
    <row r="26">
      <c r="C26" s="7">
        <v>2.777777777777778E-4</v>
      </c>
      <c r="K26" s="6"/>
      <c r="L26" s="5" t="str">
        <f t="array" ref="L26">XLOOKUP(K26,Skills[Action],Skills[Icon],"")</f>
        <v/>
      </c>
      <c r="M26" s="6"/>
      <c r="N26" s="5" t="str">
        <f t="array" ref="N26">XLOOKUP(M26,Skills[Action],Skills[Icon],"")</f>
        <v/>
      </c>
      <c r="O26" s="6"/>
      <c r="P26" s="5" t="str">
        <f t="array" ref="P26">XLOOKUP(O26,Skills[Action],Skills[Icon],"")</f>
        <v/>
      </c>
      <c r="Q26" s="6"/>
      <c r="R26" s="5" t="str">
        <f t="array" ref="R26">XLOOKUP(Q26,Skills[Action],Skills[Icon],"")</f>
        <v/>
      </c>
      <c r="S26" s="6"/>
      <c r="T26" s="5" t="str">
        <f t="array" ref="T26">XLOOKUP(S26,Skills[Action],Skills[Icon],"")</f>
        <v/>
      </c>
      <c r="U26" s="6"/>
      <c r="V26" s="5" t="str">
        <f t="array" ref="V26">XLOOKUP(U26,Skills[Action],Skills[Icon],"")</f>
        <v/>
      </c>
    </row>
    <row r="27">
      <c r="C27" s="7">
        <v>2.8935185185185184E-4</v>
      </c>
      <c r="K27" s="6"/>
      <c r="L27" s="5" t="str">
        <f t="array" ref="L27">XLOOKUP(K27,Skills[Action],Skills[Icon],"")</f>
        <v/>
      </c>
      <c r="M27" s="6"/>
      <c r="N27" s="5" t="str">
        <f t="array" ref="N27">XLOOKUP(M27,Skills[Action],Skills[Icon],"")</f>
        <v/>
      </c>
      <c r="O27" s="6"/>
      <c r="P27" s="5" t="str">
        <f t="array" ref="P27">XLOOKUP(O27,Skills[Action],Skills[Icon],"")</f>
        <v/>
      </c>
      <c r="Q27" s="6"/>
      <c r="R27" s="5" t="str">
        <f t="array" ref="R27">XLOOKUP(Q27,Skills[Action],Skills[Icon],"")</f>
        <v/>
      </c>
      <c r="S27" s="6"/>
      <c r="T27" s="5" t="str">
        <f t="array" ref="T27">XLOOKUP(S27,Skills[Action],Skills[Icon],"")</f>
        <v/>
      </c>
      <c r="U27" s="6"/>
      <c r="V27" s="5" t="str">
        <f t="array" ref="V27">XLOOKUP(U27,Skills[Action],Skills[Icon],"")</f>
        <v/>
      </c>
    </row>
    <row r="28">
      <c r="C28" s="7">
        <v>3.0092592592592595E-4</v>
      </c>
      <c r="D28" s="1" t="s">
        <v>146</v>
      </c>
      <c r="E28" s="9">
        <v>60000.0</v>
      </c>
      <c r="F28" s="9"/>
      <c r="K28" s="6"/>
      <c r="L28" s="5" t="str">
        <f t="array" ref="L28">XLOOKUP(K28,Skills[Action],Skills[Icon],"")</f>
        <v/>
      </c>
      <c r="M28" s="6"/>
      <c r="N28" s="5" t="str">
        <f t="array" ref="N28">XLOOKUP(M28,Skills[Action],Skills[Icon],"")</f>
        <v/>
      </c>
      <c r="O28" s="6"/>
      <c r="P28" s="5" t="str">
        <f t="array" ref="P28">XLOOKUP(O28,Skills[Action],Skills[Icon],"")</f>
        <v/>
      </c>
      <c r="Q28" s="6"/>
      <c r="R28" s="5" t="str">
        <f t="array" ref="R28">XLOOKUP(Q28,Skills[Action],Skills[Icon],"")</f>
        <v/>
      </c>
      <c r="S28" s="6"/>
      <c r="T28" s="5" t="str">
        <f t="array" ref="T28">XLOOKUP(S28,Skills[Action],Skills[Icon],"")</f>
        <v/>
      </c>
      <c r="U28" s="6"/>
      <c r="V28" s="5" t="str">
        <f t="array" ref="V28">XLOOKUP(U28,Skills[Action],Skills[Icon],"")</f>
        <v/>
      </c>
    </row>
    <row r="29">
      <c r="C29" s="7">
        <v>3.125E-4</v>
      </c>
      <c r="K29" s="6"/>
      <c r="L29" s="5" t="str">
        <f t="array" ref="L29">XLOOKUP(K29,Skills[Action],Skills[Icon],"")</f>
        <v/>
      </c>
      <c r="M29" s="6"/>
      <c r="N29" s="5" t="str">
        <f t="array" ref="N29">XLOOKUP(M29,Skills[Action],Skills[Icon],"")</f>
        <v/>
      </c>
      <c r="O29" s="6"/>
      <c r="P29" s="5" t="str">
        <f t="array" ref="P29">XLOOKUP(O29,Skills[Action],Skills[Icon],"")</f>
        <v/>
      </c>
      <c r="Q29" s="6"/>
      <c r="R29" s="5" t="str">
        <f t="array" ref="R29">XLOOKUP(Q29,Skills[Action],Skills[Icon],"")</f>
        <v/>
      </c>
      <c r="S29" s="6"/>
      <c r="T29" s="5" t="str">
        <f t="array" ref="T29">XLOOKUP(S29,Skills[Action],Skills[Icon],"")</f>
        <v/>
      </c>
      <c r="U29" s="6"/>
      <c r="V29" s="5" t="str">
        <f t="array" ref="V29">XLOOKUP(U29,Skills[Action],Skills[Icon],"")</f>
        <v/>
      </c>
    </row>
    <row r="30">
      <c r="C30" s="7">
        <v>3.2407407407407406E-4</v>
      </c>
      <c r="K30" s="6"/>
      <c r="L30" s="5" t="str">
        <f t="array" ref="L30">XLOOKUP(K30,Skills[Action],Skills[Icon],"")</f>
        <v/>
      </c>
      <c r="M30" s="6"/>
      <c r="N30" s="5" t="str">
        <f t="array" ref="N30">XLOOKUP(M30,Skills[Action],Skills[Icon],"")</f>
        <v/>
      </c>
      <c r="O30" s="6"/>
      <c r="P30" s="5" t="str">
        <f t="array" ref="P30">XLOOKUP(O30,Skills[Action],Skills[Icon],"")</f>
        <v/>
      </c>
      <c r="Q30" s="6"/>
      <c r="R30" s="5" t="str">
        <f t="array" ref="R30">XLOOKUP(Q30,Skills[Action],Skills[Icon],"")</f>
        <v/>
      </c>
      <c r="S30" s="6"/>
      <c r="T30" s="5" t="str">
        <f t="array" ref="T30">XLOOKUP(S30,Skills[Action],Skills[Icon],"")</f>
        <v/>
      </c>
      <c r="U30" s="6"/>
      <c r="V30" s="5" t="str">
        <f t="array" ref="V30">XLOOKUP(U30,Skills[Action],Skills[Icon],"")</f>
        <v/>
      </c>
    </row>
    <row r="31">
      <c r="C31" s="7">
        <v>3.356481481481481E-4</v>
      </c>
      <c r="D31" s="1" t="s">
        <v>147</v>
      </c>
      <c r="K31" s="6"/>
      <c r="L31" s="5" t="str">
        <f t="array" ref="L31">XLOOKUP(K31,Skills[Action],Skills[Icon],"")</f>
        <v/>
      </c>
      <c r="M31" s="6"/>
      <c r="N31" s="5" t="str">
        <f t="array" ref="N31">XLOOKUP(M31,Skills[Action],Skills[Icon],"")</f>
        <v/>
      </c>
      <c r="O31" s="6"/>
      <c r="P31" s="5" t="str">
        <f t="array" ref="P31">XLOOKUP(O31,Skills[Action],Skills[Icon],"")</f>
        <v/>
      </c>
      <c r="Q31" s="6"/>
      <c r="R31" s="5" t="str">
        <f t="array" ref="R31">XLOOKUP(Q31,Skills[Action],Skills[Icon],"")</f>
        <v/>
      </c>
      <c r="S31" s="6"/>
      <c r="T31" s="5" t="str">
        <f t="array" ref="T31">XLOOKUP(S31,Skills[Action],Skills[Icon],"")</f>
        <v/>
      </c>
      <c r="U31" s="6"/>
      <c r="V31" s="5" t="str">
        <f t="array" ref="V31">XLOOKUP(U31,Skills[Action],Skills[Icon],"")</f>
        <v/>
      </c>
    </row>
    <row r="32">
      <c r="C32" s="7">
        <v>3.4722222222222224E-4</v>
      </c>
      <c r="K32" s="6"/>
      <c r="L32" s="5" t="str">
        <f t="array" ref="L32">XLOOKUP(K32,Skills[Action],Skills[Icon],"")</f>
        <v/>
      </c>
      <c r="M32" s="6"/>
      <c r="N32" s="5" t="str">
        <f t="array" ref="N32">XLOOKUP(M32,Skills[Action],Skills[Icon],"")</f>
        <v/>
      </c>
      <c r="O32" s="6"/>
      <c r="P32" s="5" t="str">
        <f t="array" ref="P32">XLOOKUP(O32,Skills[Action],Skills[Icon],"")</f>
        <v/>
      </c>
      <c r="Q32" s="6"/>
      <c r="R32" s="5" t="str">
        <f t="array" ref="R32">XLOOKUP(Q32,Skills[Action],Skills[Icon],"")</f>
        <v/>
      </c>
      <c r="S32" s="6"/>
      <c r="T32" s="5" t="str">
        <f t="array" ref="T32">XLOOKUP(S32,Skills[Action],Skills[Icon],"")</f>
        <v/>
      </c>
      <c r="U32" s="6"/>
      <c r="V32" s="5" t="str">
        <f t="array" ref="V32">XLOOKUP(U32,Skills[Action],Skills[Icon],"")</f>
        <v/>
      </c>
    </row>
    <row r="33">
      <c r="C33" s="7">
        <v>3.587962962962963E-4</v>
      </c>
      <c r="D33" s="1" t="s">
        <v>145</v>
      </c>
      <c r="E33" s="9">
        <v>40000.0</v>
      </c>
      <c r="F33" s="9"/>
      <c r="K33" s="6"/>
      <c r="L33" s="5" t="str">
        <f t="array" ref="L33">XLOOKUP(K33,Skills[Action],Skills[Icon],"")</f>
        <v/>
      </c>
      <c r="M33" s="6"/>
      <c r="N33" s="5" t="str">
        <f t="array" ref="N33">XLOOKUP(M33,Skills[Action],Skills[Icon],"")</f>
        <v/>
      </c>
      <c r="O33" s="6"/>
      <c r="P33" s="5" t="str">
        <f t="array" ref="P33">XLOOKUP(O33,Skills[Action],Skills[Icon],"")</f>
        <v/>
      </c>
      <c r="Q33" s="6"/>
      <c r="R33" s="5" t="str">
        <f t="array" ref="R33">XLOOKUP(Q33,Skills[Action],Skills[Icon],"")</f>
        <v/>
      </c>
      <c r="S33" s="6"/>
      <c r="T33" s="5" t="str">
        <f t="array" ref="T33">XLOOKUP(S33,Skills[Action],Skills[Icon],"")</f>
        <v/>
      </c>
      <c r="U33" s="6"/>
      <c r="V33" s="5" t="str">
        <f t="array" ref="V33">XLOOKUP(U33,Skills[Action],Skills[Icon],"")</f>
        <v/>
      </c>
    </row>
    <row r="34">
      <c r="C34" s="7">
        <v>3.7037037037037035E-4</v>
      </c>
      <c r="K34" s="6"/>
      <c r="L34" s="5" t="str">
        <f t="array" ref="L34">XLOOKUP(K34,Skills[Action],Skills[Icon],"")</f>
        <v/>
      </c>
      <c r="M34" s="6"/>
      <c r="N34" s="5" t="str">
        <f t="array" ref="N34">XLOOKUP(M34,Skills[Action],Skills[Icon],"")</f>
        <v/>
      </c>
      <c r="O34" s="6"/>
      <c r="P34" s="5" t="str">
        <f t="array" ref="P34">XLOOKUP(O34,Skills[Action],Skills[Icon],"")</f>
        <v/>
      </c>
      <c r="Q34" s="6"/>
      <c r="R34" s="5" t="str">
        <f t="array" ref="R34">XLOOKUP(Q34,Skills[Action],Skills[Icon],"")</f>
        <v/>
      </c>
      <c r="S34" s="6"/>
      <c r="T34" s="5" t="str">
        <f t="array" ref="T34">XLOOKUP(S34,Skills[Action],Skills[Icon],"")</f>
        <v/>
      </c>
      <c r="U34" s="6"/>
      <c r="V34" s="5" t="str">
        <f t="array" ref="V34">XLOOKUP(U34,Skills[Action],Skills[Icon],"")</f>
        <v/>
      </c>
    </row>
    <row r="35">
      <c r="C35" s="7">
        <v>3.8194444444444446E-4</v>
      </c>
      <c r="D35" s="1" t="s">
        <v>147</v>
      </c>
      <c r="K35" s="6"/>
      <c r="L35" s="5" t="str">
        <f t="array" ref="L35">XLOOKUP(K35,Skills[Action],Skills[Icon],"")</f>
        <v/>
      </c>
      <c r="M35" s="6"/>
      <c r="N35" s="5" t="str">
        <f t="array" ref="N35">XLOOKUP(M35,Skills[Action],Skills[Icon],"")</f>
        <v/>
      </c>
      <c r="O35" s="6"/>
      <c r="P35" s="5" t="str">
        <f t="array" ref="P35">XLOOKUP(O35,Skills[Action],Skills[Icon],"")</f>
        <v/>
      </c>
      <c r="Q35" s="6"/>
      <c r="R35" s="5" t="str">
        <f t="array" ref="R35">XLOOKUP(Q35,Skills[Action],Skills[Icon],"")</f>
        <v/>
      </c>
      <c r="S35" s="6"/>
      <c r="T35" s="5" t="str">
        <f t="array" ref="T35">XLOOKUP(S35,Skills[Action],Skills[Icon],"")</f>
        <v/>
      </c>
      <c r="U35" s="6"/>
      <c r="V35" s="5" t="str">
        <f t="array" ref="V35">XLOOKUP(U35,Skills[Action],Skills[Icon],"")</f>
        <v/>
      </c>
    </row>
    <row r="36">
      <c r="C36" s="7">
        <v>3.935185185185185E-4</v>
      </c>
      <c r="K36" s="6"/>
      <c r="L36" s="5" t="str">
        <f t="array" ref="L36">XLOOKUP(K36,Skills[Action],Skills[Icon],"")</f>
        <v/>
      </c>
      <c r="M36" s="6"/>
      <c r="N36" s="5" t="str">
        <f t="array" ref="N36">XLOOKUP(M36,Skills[Action],Skills[Icon],"")</f>
        <v/>
      </c>
      <c r="O36" s="6"/>
      <c r="P36" s="5" t="str">
        <f t="array" ref="P36">XLOOKUP(O36,Skills[Action],Skills[Icon],"")</f>
        <v/>
      </c>
      <c r="Q36" s="6"/>
      <c r="R36" s="5" t="str">
        <f t="array" ref="R36">XLOOKUP(Q36,Skills[Action],Skills[Icon],"")</f>
        <v/>
      </c>
      <c r="S36" s="6"/>
      <c r="T36" s="5" t="str">
        <f t="array" ref="T36">XLOOKUP(S36,Skills[Action],Skills[Icon],"")</f>
        <v/>
      </c>
      <c r="U36" s="6"/>
      <c r="V36" s="5" t="str">
        <f t="array" ref="V36">XLOOKUP(U36,Skills[Action],Skills[Icon],"")</f>
        <v/>
      </c>
    </row>
    <row r="37">
      <c r="C37" s="7">
        <v>4.050925925925926E-4</v>
      </c>
      <c r="D37" s="1" t="s">
        <v>147</v>
      </c>
      <c r="K37" s="6"/>
      <c r="L37" s="5" t="str">
        <f t="array" ref="L37">XLOOKUP(K37,Skills[Action],Skills[Icon],"")</f>
        <v/>
      </c>
      <c r="M37" s="6"/>
      <c r="N37" s="5" t="str">
        <f t="array" ref="N37">XLOOKUP(M37,Skills[Action],Skills[Icon],"")</f>
        <v/>
      </c>
      <c r="O37" s="6"/>
      <c r="P37" s="5" t="str">
        <f t="array" ref="P37">XLOOKUP(O37,Skills[Action],Skills[Icon],"")</f>
        <v/>
      </c>
      <c r="Q37" s="6"/>
      <c r="R37" s="5" t="str">
        <f t="array" ref="R37">XLOOKUP(Q37,Skills[Action],Skills[Icon],"")</f>
        <v/>
      </c>
      <c r="S37" s="6"/>
      <c r="T37" s="5" t="str">
        <f t="array" ref="T37">XLOOKUP(S37,Skills[Action],Skills[Icon],"")</f>
        <v/>
      </c>
      <c r="U37" s="6"/>
      <c r="V37" s="5" t="str">
        <f t="array" ref="V37">XLOOKUP(U37,Skills[Action],Skills[Icon],"")</f>
        <v/>
      </c>
    </row>
    <row r="38">
      <c r="C38" s="7">
        <v>4.166666666666667E-4</v>
      </c>
      <c r="D38" s="1" t="s">
        <v>146</v>
      </c>
      <c r="E38" s="9">
        <v>60000.0</v>
      </c>
      <c r="F38" s="9"/>
      <c r="K38" s="6"/>
      <c r="L38" s="5" t="str">
        <f t="array" ref="L38">XLOOKUP(K38,Skills[Action],Skills[Icon],"")</f>
        <v/>
      </c>
      <c r="M38" s="6"/>
      <c r="N38" s="5" t="str">
        <f t="array" ref="N38">XLOOKUP(M38,Skills[Action],Skills[Icon],"")</f>
        <v/>
      </c>
      <c r="O38" s="6"/>
      <c r="P38" s="5" t="str">
        <f t="array" ref="P38">XLOOKUP(O38,Skills[Action],Skills[Icon],"")</f>
        <v/>
      </c>
      <c r="Q38" s="6"/>
      <c r="R38" s="5" t="str">
        <f t="array" ref="R38">XLOOKUP(Q38,Skills[Action],Skills[Icon],"")</f>
        <v/>
      </c>
      <c r="S38" s="6"/>
      <c r="T38" s="5" t="str">
        <f t="array" ref="T38">XLOOKUP(S38,Skills[Action],Skills[Icon],"")</f>
        <v/>
      </c>
      <c r="U38" s="6"/>
      <c r="V38" s="5" t="str">
        <f t="array" ref="V38">XLOOKUP(U38,Skills[Action],Skills[Icon],"")</f>
        <v/>
      </c>
    </row>
    <row r="39">
      <c r="C39" s="7">
        <v>4.2824074074074075E-4</v>
      </c>
      <c r="K39" s="6"/>
      <c r="L39" s="5" t="str">
        <f t="array" ref="L39">XLOOKUP(K39,Skills[Action],Skills[Icon],"")</f>
        <v/>
      </c>
      <c r="M39" s="6"/>
      <c r="N39" s="5" t="str">
        <f t="array" ref="N39">XLOOKUP(M39,Skills[Action],Skills[Icon],"")</f>
        <v/>
      </c>
      <c r="O39" s="6"/>
      <c r="P39" s="5" t="str">
        <f t="array" ref="P39">XLOOKUP(O39,Skills[Action],Skills[Icon],"")</f>
        <v/>
      </c>
      <c r="Q39" s="6"/>
      <c r="R39" s="5" t="str">
        <f t="array" ref="R39">XLOOKUP(Q39,Skills[Action],Skills[Icon],"")</f>
        <v/>
      </c>
      <c r="S39" s="6"/>
      <c r="T39" s="5" t="str">
        <f t="array" ref="T39">XLOOKUP(S39,Skills[Action],Skills[Icon],"")</f>
        <v/>
      </c>
      <c r="U39" s="6"/>
      <c r="V39" s="5" t="str">
        <f t="array" ref="V39">XLOOKUP(U39,Skills[Action],Skills[Icon],"")</f>
        <v/>
      </c>
    </row>
    <row r="40">
      <c r="C40" s="7">
        <v>4.398148148148148E-4</v>
      </c>
      <c r="K40" s="6"/>
      <c r="L40" s="5" t="str">
        <f t="array" ref="L40">XLOOKUP(K40,Skills[Action],Skills[Icon],"")</f>
        <v/>
      </c>
      <c r="M40" s="6"/>
      <c r="N40" s="5" t="str">
        <f t="array" ref="N40">XLOOKUP(M40,Skills[Action],Skills[Icon],"")</f>
        <v/>
      </c>
      <c r="O40" s="6"/>
      <c r="P40" s="5" t="str">
        <f t="array" ref="P40">XLOOKUP(O40,Skills[Action],Skills[Icon],"")</f>
        <v/>
      </c>
      <c r="Q40" s="6"/>
      <c r="R40" s="5" t="str">
        <f t="array" ref="R40">XLOOKUP(Q40,Skills[Action],Skills[Icon],"")</f>
        <v/>
      </c>
      <c r="S40" s="6"/>
      <c r="T40" s="5" t="str">
        <f t="array" ref="T40">XLOOKUP(S40,Skills[Action],Skills[Icon],"")</f>
        <v/>
      </c>
      <c r="U40" s="6"/>
      <c r="V40" s="5" t="str">
        <f t="array" ref="V40">XLOOKUP(U40,Skills[Action],Skills[Icon],"")</f>
        <v/>
      </c>
    </row>
    <row r="41">
      <c r="C41" s="7">
        <v>4.5138888888888887E-4</v>
      </c>
      <c r="K41" s="6"/>
      <c r="L41" s="5" t="str">
        <f t="array" ref="L41">XLOOKUP(K41,Skills[Action],Skills[Icon],"")</f>
        <v/>
      </c>
      <c r="M41" s="6"/>
      <c r="N41" s="5" t="str">
        <f t="array" ref="N41">XLOOKUP(M41,Skills[Action],Skills[Icon],"")</f>
        <v/>
      </c>
      <c r="O41" s="6"/>
      <c r="P41" s="5" t="str">
        <f t="array" ref="P41">XLOOKUP(O41,Skills[Action],Skills[Icon],"")</f>
        <v/>
      </c>
      <c r="Q41" s="6"/>
      <c r="R41" s="5" t="str">
        <f t="array" ref="R41">XLOOKUP(Q41,Skills[Action],Skills[Icon],"")</f>
        <v/>
      </c>
      <c r="S41" s="6"/>
      <c r="T41" s="5" t="str">
        <f t="array" ref="T41">XLOOKUP(S41,Skills[Action],Skills[Icon],"")</f>
        <v/>
      </c>
      <c r="U41" s="6"/>
      <c r="V41" s="5" t="str">
        <f t="array" ref="V41">XLOOKUP(U41,Skills[Action],Skills[Icon],"")</f>
        <v/>
      </c>
    </row>
    <row r="42">
      <c r="C42" s="7">
        <v>4.62962962962963E-4</v>
      </c>
      <c r="K42" s="6"/>
      <c r="L42" s="5" t="str">
        <f t="array" ref="L42">XLOOKUP(K42,Skills[Action],Skills[Icon],"")</f>
        <v/>
      </c>
      <c r="M42" s="6"/>
      <c r="N42" s="5" t="str">
        <f t="array" ref="N42">XLOOKUP(M42,Skills[Action],Skills[Icon],"")</f>
        <v/>
      </c>
      <c r="O42" s="6"/>
      <c r="P42" s="5" t="str">
        <f t="array" ref="P42">XLOOKUP(O42,Skills[Action],Skills[Icon],"")</f>
        <v/>
      </c>
      <c r="Q42" s="6"/>
      <c r="R42" s="5" t="str">
        <f t="array" ref="R42">XLOOKUP(Q42,Skills[Action],Skills[Icon],"")</f>
        <v/>
      </c>
      <c r="S42" s="6"/>
      <c r="T42" s="5" t="str">
        <f t="array" ref="T42">XLOOKUP(S42,Skills[Action],Skills[Icon],"")</f>
        <v/>
      </c>
      <c r="U42" s="6"/>
      <c r="V42" s="5" t="str">
        <f t="array" ref="V42">XLOOKUP(U42,Skills[Action],Skills[Icon],"")</f>
        <v/>
      </c>
    </row>
    <row r="43">
      <c r="C43" s="7">
        <v>4.7453703703703704E-4</v>
      </c>
      <c r="K43" s="6"/>
      <c r="L43" s="5" t="str">
        <f t="array" ref="L43">XLOOKUP(K43,Skills[Action],Skills[Icon],"")</f>
        <v/>
      </c>
      <c r="M43" s="6"/>
      <c r="N43" s="5" t="str">
        <f t="array" ref="N43">XLOOKUP(M43,Skills[Action],Skills[Icon],"")</f>
        <v/>
      </c>
      <c r="O43" s="6"/>
      <c r="P43" s="5" t="str">
        <f t="array" ref="P43">XLOOKUP(O43,Skills[Action],Skills[Icon],"")</f>
        <v/>
      </c>
      <c r="Q43" s="6"/>
      <c r="R43" s="5" t="str">
        <f t="array" ref="R43">XLOOKUP(Q43,Skills[Action],Skills[Icon],"")</f>
        <v/>
      </c>
      <c r="S43" s="6"/>
      <c r="T43" s="5" t="str">
        <f t="array" ref="T43">XLOOKUP(S43,Skills[Action],Skills[Icon],"")</f>
        <v/>
      </c>
      <c r="U43" s="6"/>
      <c r="V43" s="5" t="str">
        <f t="array" ref="V43">XLOOKUP(U43,Skills[Action],Skills[Icon],"")</f>
        <v/>
      </c>
    </row>
    <row r="44">
      <c r="C44" s="7">
        <v>4.861111111111111E-4</v>
      </c>
      <c r="D44" s="1" t="s">
        <v>145</v>
      </c>
      <c r="E44" s="9">
        <v>40000.0</v>
      </c>
      <c r="F44" s="9"/>
      <c r="K44" s="6"/>
      <c r="L44" s="5" t="str">
        <f t="array" ref="L44">XLOOKUP(K44,Skills[Action],Skills[Icon],"")</f>
        <v/>
      </c>
      <c r="M44" s="6"/>
      <c r="N44" s="5" t="str">
        <f t="array" ref="N44">XLOOKUP(M44,Skills[Action],Skills[Icon],"")</f>
        <v/>
      </c>
      <c r="O44" s="6"/>
      <c r="P44" s="5" t="str">
        <f t="array" ref="P44">XLOOKUP(O44,Skills[Action],Skills[Icon],"")</f>
        <v/>
      </c>
      <c r="Q44" s="6"/>
      <c r="R44" s="5" t="str">
        <f t="array" ref="R44">XLOOKUP(Q44,Skills[Action],Skills[Icon],"")</f>
        <v/>
      </c>
      <c r="S44" s="6"/>
      <c r="T44" s="5" t="str">
        <f t="array" ref="T44">XLOOKUP(S44,Skills[Action],Skills[Icon],"")</f>
        <v/>
      </c>
      <c r="U44" s="6"/>
      <c r="V44" s="5" t="str">
        <f t="array" ref="V44">XLOOKUP(U44,Skills[Action],Skills[Icon],"")</f>
        <v/>
      </c>
    </row>
    <row r="45">
      <c r="C45" s="7">
        <v>4.976851851851852E-4</v>
      </c>
      <c r="K45" s="6"/>
      <c r="L45" s="5" t="str">
        <f t="array" ref="L45">XLOOKUP(K45,Skills[Action],Skills[Icon],"")</f>
        <v/>
      </c>
      <c r="M45" s="6"/>
      <c r="N45" s="5" t="str">
        <f t="array" ref="N45">XLOOKUP(M45,Skills[Action],Skills[Icon],"")</f>
        <v/>
      </c>
      <c r="O45" s="6"/>
      <c r="P45" s="5" t="str">
        <f t="array" ref="P45">XLOOKUP(O45,Skills[Action],Skills[Icon],"")</f>
        <v/>
      </c>
      <c r="Q45" s="6"/>
      <c r="R45" s="5" t="str">
        <f t="array" ref="R45">XLOOKUP(Q45,Skills[Action],Skills[Icon],"")</f>
        <v/>
      </c>
      <c r="S45" s="6"/>
      <c r="T45" s="5" t="str">
        <f t="array" ref="T45">XLOOKUP(S45,Skills[Action],Skills[Icon],"")</f>
        <v/>
      </c>
      <c r="U45" s="6"/>
      <c r="V45" s="5" t="str">
        <f t="array" ref="V45">XLOOKUP(U45,Skills[Action],Skills[Icon],"")</f>
        <v/>
      </c>
    </row>
    <row r="46">
      <c r="C46" s="7">
        <v>5.092592592592592E-4</v>
      </c>
      <c r="K46" s="6"/>
      <c r="L46" s="5" t="str">
        <f t="array" ref="L46">XLOOKUP(K46,Skills[Action],Skills[Icon],"")</f>
        <v/>
      </c>
      <c r="M46" s="6"/>
      <c r="N46" s="5" t="str">
        <f t="array" ref="N46">XLOOKUP(M46,Skills[Action],Skills[Icon],"")</f>
        <v/>
      </c>
      <c r="O46" s="6"/>
      <c r="P46" s="5" t="str">
        <f t="array" ref="P46">XLOOKUP(O46,Skills[Action],Skills[Icon],"")</f>
        <v/>
      </c>
      <c r="Q46" s="6"/>
      <c r="R46" s="5" t="str">
        <f t="array" ref="R46">XLOOKUP(Q46,Skills[Action],Skills[Icon],"")</f>
        <v/>
      </c>
      <c r="S46" s="6"/>
      <c r="T46" s="5" t="str">
        <f t="array" ref="T46">XLOOKUP(S46,Skills[Action],Skills[Icon],"")</f>
        <v/>
      </c>
      <c r="U46" s="6"/>
      <c r="V46" s="5" t="str">
        <f t="array" ref="V46">XLOOKUP(U46,Skills[Action],Skills[Icon],"")</f>
        <v/>
      </c>
    </row>
    <row r="47">
      <c r="C47" s="7">
        <v>5.208333333333333E-4</v>
      </c>
      <c r="K47" s="6"/>
      <c r="L47" s="5" t="str">
        <f t="array" ref="L47">XLOOKUP(K47,Skills[Action],Skills[Icon],"")</f>
        <v/>
      </c>
      <c r="M47" s="6"/>
      <c r="N47" s="5" t="str">
        <f t="array" ref="N47">XLOOKUP(M47,Skills[Action],Skills[Icon],"")</f>
        <v/>
      </c>
      <c r="O47" s="6"/>
      <c r="P47" s="5" t="str">
        <f t="array" ref="P47">XLOOKUP(O47,Skills[Action],Skills[Icon],"")</f>
        <v/>
      </c>
      <c r="Q47" s="6"/>
      <c r="R47" s="5" t="str">
        <f t="array" ref="R47">XLOOKUP(Q47,Skills[Action],Skills[Icon],"")</f>
        <v/>
      </c>
      <c r="S47" s="6"/>
      <c r="T47" s="5" t="str">
        <f t="array" ref="T47">XLOOKUP(S47,Skills[Action],Skills[Icon],"")</f>
        <v/>
      </c>
      <c r="U47" s="6"/>
      <c r="V47" s="5" t="str">
        <f t="array" ref="V47">XLOOKUP(U47,Skills[Action],Skills[Icon],"")</f>
        <v/>
      </c>
    </row>
    <row r="48">
      <c r="C48" s="7">
        <v>5.324074074074074E-4</v>
      </c>
      <c r="D48" s="1" t="s">
        <v>147</v>
      </c>
      <c r="K48" s="6"/>
      <c r="L48" s="5" t="str">
        <f t="array" ref="L48">XLOOKUP(K48,Skills[Action],Skills[Icon],"")</f>
        <v/>
      </c>
      <c r="M48" s="6"/>
      <c r="N48" s="5" t="str">
        <f t="array" ref="N48">XLOOKUP(M48,Skills[Action],Skills[Icon],"")</f>
        <v/>
      </c>
      <c r="O48" s="6"/>
      <c r="P48" s="5" t="str">
        <f t="array" ref="P48">XLOOKUP(O48,Skills[Action],Skills[Icon],"")</f>
        <v/>
      </c>
      <c r="Q48" s="6"/>
      <c r="R48" s="5" t="str">
        <f t="array" ref="R48">XLOOKUP(Q48,Skills[Action],Skills[Icon],"")</f>
        <v/>
      </c>
      <c r="S48" s="6"/>
      <c r="T48" s="5" t="str">
        <f t="array" ref="T48">XLOOKUP(S48,Skills[Action],Skills[Icon],"")</f>
        <v/>
      </c>
      <c r="U48" s="6"/>
      <c r="V48" s="5" t="str">
        <f t="array" ref="V48">XLOOKUP(U48,Skills[Action],Skills[Icon],"")</f>
        <v/>
      </c>
    </row>
    <row r="49">
      <c r="C49" s="7">
        <v>5.439814814814814E-4</v>
      </c>
      <c r="D49" s="1" t="s">
        <v>146</v>
      </c>
      <c r="E49" s="9">
        <v>60000.0</v>
      </c>
      <c r="F49" s="9"/>
      <c r="K49" s="6"/>
      <c r="L49" s="5" t="str">
        <f t="array" ref="L49">XLOOKUP(K49,Skills[Action],Skills[Icon],"")</f>
        <v/>
      </c>
      <c r="M49" s="6"/>
      <c r="N49" s="5" t="str">
        <f t="array" ref="N49">XLOOKUP(M49,Skills[Action],Skills[Icon],"")</f>
        <v/>
      </c>
      <c r="O49" s="6"/>
      <c r="P49" s="5" t="str">
        <f t="array" ref="P49">XLOOKUP(O49,Skills[Action],Skills[Icon],"")</f>
        <v/>
      </c>
      <c r="Q49" s="6"/>
      <c r="R49" s="5" t="str">
        <f t="array" ref="R49">XLOOKUP(Q49,Skills[Action],Skills[Icon],"")</f>
        <v/>
      </c>
      <c r="S49" s="6"/>
      <c r="T49" s="5" t="str">
        <f t="array" ref="T49">XLOOKUP(S49,Skills[Action],Skills[Icon],"")</f>
        <v/>
      </c>
      <c r="U49" s="6"/>
      <c r="V49" s="5" t="str">
        <f t="array" ref="V49">XLOOKUP(U49,Skills[Action],Skills[Icon],"")</f>
        <v/>
      </c>
    </row>
    <row r="50">
      <c r="C50" s="7">
        <v>5.555555555555556E-4</v>
      </c>
      <c r="D50" s="1" t="s">
        <v>147</v>
      </c>
      <c r="K50" s="6"/>
      <c r="L50" s="5" t="str">
        <f t="array" ref="L50">XLOOKUP(K50,Skills[Action],Skills[Icon],"")</f>
        <v/>
      </c>
      <c r="M50" s="6"/>
      <c r="N50" s="5" t="str">
        <f t="array" ref="N50">XLOOKUP(M50,Skills[Action],Skills[Icon],"")</f>
        <v/>
      </c>
      <c r="O50" s="6"/>
      <c r="P50" s="5" t="str">
        <f t="array" ref="P50">XLOOKUP(O50,Skills[Action],Skills[Icon],"")</f>
        <v/>
      </c>
      <c r="Q50" s="6"/>
      <c r="R50" s="5" t="str">
        <f t="array" ref="R50">XLOOKUP(Q50,Skills[Action],Skills[Icon],"")</f>
        <v/>
      </c>
      <c r="S50" s="6"/>
      <c r="T50" s="5" t="str">
        <f t="array" ref="T50">XLOOKUP(S50,Skills[Action],Skills[Icon],"")</f>
        <v/>
      </c>
      <c r="U50" s="6"/>
      <c r="V50" s="5" t="str">
        <f t="array" ref="V50">XLOOKUP(U50,Skills[Action],Skills[Icon],"")</f>
        <v/>
      </c>
    </row>
    <row r="51">
      <c r="C51" s="7">
        <v>5.671296296296297E-4</v>
      </c>
      <c r="K51" s="6"/>
      <c r="L51" s="5" t="str">
        <f t="array" ref="L51">XLOOKUP(K51,Skills[Action],Skills[Icon],"")</f>
        <v/>
      </c>
      <c r="M51" s="6"/>
      <c r="N51" s="5" t="str">
        <f t="array" ref="N51">XLOOKUP(M51,Skills[Action],Skills[Icon],"")</f>
        <v/>
      </c>
      <c r="O51" s="6"/>
      <c r="P51" s="5" t="str">
        <f t="array" ref="P51">XLOOKUP(O51,Skills[Action],Skills[Icon],"")</f>
        <v/>
      </c>
      <c r="Q51" s="6"/>
      <c r="R51" s="5" t="str">
        <f t="array" ref="R51">XLOOKUP(Q51,Skills[Action],Skills[Icon],"")</f>
        <v/>
      </c>
      <c r="S51" s="6"/>
      <c r="T51" s="5" t="str">
        <f t="array" ref="T51">XLOOKUP(S51,Skills[Action],Skills[Icon],"")</f>
        <v/>
      </c>
      <c r="U51" s="6"/>
      <c r="V51" s="5" t="str">
        <f t="array" ref="V51">XLOOKUP(U51,Skills[Action],Skills[Icon],"")</f>
        <v/>
      </c>
    </row>
    <row r="52">
      <c r="C52" s="7">
        <v>5.787037037037037E-4</v>
      </c>
      <c r="D52" s="1" t="s">
        <v>147</v>
      </c>
      <c r="K52" s="6"/>
      <c r="L52" s="5" t="str">
        <f t="array" ref="L52">XLOOKUP(K52,Skills[Action],Skills[Icon],"")</f>
        <v/>
      </c>
      <c r="M52" s="6"/>
      <c r="N52" s="5" t="str">
        <f t="array" ref="N52">XLOOKUP(M52,Skills[Action],Skills[Icon],"")</f>
        <v/>
      </c>
      <c r="O52" s="6"/>
      <c r="P52" s="5" t="str">
        <f t="array" ref="P52">XLOOKUP(O52,Skills[Action],Skills[Icon],"")</f>
        <v/>
      </c>
      <c r="Q52" s="6"/>
      <c r="R52" s="5" t="str">
        <f t="array" ref="R52">XLOOKUP(Q52,Skills[Action],Skills[Icon],"")</f>
        <v/>
      </c>
      <c r="S52" s="6"/>
      <c r="T52" s="5" t="str">
        <f t="array" ref="T52">XLOOKUP(S52,Skills[Action],Skills[Icon],"")</f>
        <v/>
      </c>
      <c r="U52" s="6"/>
      <c r="V52" s="5" t="str">
        <f t="array" ref="V52">XLOOKUP(U52,Skills[Action],Skills[Icon],"")</f>
        <v/>
      </c>
    </row>
    <row r="53">
      <c r="C53" s="7">
        <v>5.902777777777778E-4</v>
      </c>
      <c r="K53" s="6"/>
      <c r="L53" s="5" t="str">
        <f t="array" ref="L53">XLOOKUP(K53,Skills[Action],Skills[Icon],"")</f>
        <v/>
      </c>
      <c r="M53" s="6"/>
      <c r="N53" s="5" t="str">
        <f t="array" ref="N53">XLOOKUP(M53,Skills[Action],Skills[Icon],"")</f>
        <v/>
      </c>
      <c r="O53" s="6"/>
      <c r="P53" s="5" t="str">
        <f t="array" ref="P53">XLOOKUP(O53,Skills[Action],Skills[Icon],"")</f>
        <v/>
      </c>
      <c r="Q53" s="6"/>
      <c r="R53" s="5" t="str">
        <f t="array" ref="R53">XLOOKUP(Q53,Skills[Action],Skills[Icon],"")</f>
        <v/>
      </c>
      <c r="S53" s="6"/>
      <c r="T53" s="5" t="str">
        <f t="array" ref="T53">XLOOKUP(S53,Skills[Action],Skills[Icon],"")</f>
        <v/>
      </c>
      <c r="U53" s="6"/>
      <c r="V53" s="5" t="str">
        <f t="array" ref="V53">XLOOKUP(U53,Skills[Action],Skills[Icon],"")</f>
        <v/>
      </c>
    </row>
    <row r="54">
      <c r="C54" s="7">
        <v>6.018518518518519E-4</v>
      </c>
      <c r="D54" s="1" t="s">
        <v>147</v>
      </c>
      <c r="K54" s="6"/>
      <c r="L54" s="5" t="str">
        <f t="array" ref="L54">XLOOKUP(K54,Skills[Action],Skills[Icon],"")</f>
        <v/>
      </c>
      <c r="M54" s="6"/>
      <c r="N54" s="5" t="str">
        <f t="array" ref="N54">XLOOKUP(M54,Skills[Action],Skills[Icon],"")</f>
        <v/>
      </c>
      <c r="O54" s="6"/>
      <c r="P54" s="5" t="str">
        <f t="array" ref="P54">XLOOKUP(O54,Skills[Action],Skills[Icon],"")</f>
        <v/>
      </c>
      <c r="Q54" s="6"/>
      <c r="R54" s="5" t="str">
        <f t="array" ref="R54">XLOOKUP(Q54,Skills[Action],Skills[Icon],"")</f>
        <v/>
      </c>
      <c r="S54" s="6"/>
      <c r="T54" s="5" t="str">
        <f t="array" ref="T54">XLOOKUP(S54,Skills[Action],Skills[Icon],"")</f>
        <v/>
      </c>
      <c r="U54" s="6"/>
      <c r="V54" s="5" t="str">
        <f t="array" ref="V54">XLOOKUP(U54,Skills[Action],Skills[Icon],"")</f>
        <v/>
      </c>
    </row>
    <row r="55">
      <c r="C55" s="7">
        <v>6.134259259259259E-4</v>
      </c>
      <c r="K55" s="6"/>
      <c r="L55" s="5" t="str">
        <f t="array" ref="L55">XLOOKUP(K55,Skills[Action],Skills[Icon],"")</f>
        <v/>
      </c>
      <c r="M55" s="6"/>
      <c r="N55" s="5" t="str">
        <f t="array" ref="N55">XLOOKUP(M55,Skills[Action],Skills[Icon],"")</f>
        <v/>
      </c>
      <c r="O55" s="6"/>
      <c r="P55" s="5" t="str">
        <f t="array" ref="P55">XLOOKUP(O55,Skills[Action],Skills[Icon],"")</f>
        <v/>
      </c>
      <c r="Q55" s="6"/>
      <c r="R55" s="5" t="str">
        <f t="array" ref="R55">XLOOKUP(Q55,Skills[Action],Skills[Icon],"")</f>
        <v/>
      </c>
      <c r="S55" s="6"/>
      <c r="T55" s="5" t="str">
        <f t="array" ref="T55">XLOOKUP(S55,Skills[Action],Skills[Icon],"")</f>
        <v/>
      </c>
      <c r="U55" s="6"/>
      <c r="V55" s="5" t="str">
        <f t="array" ref="V55">XLOOKUP(U55,Skills[Action],Skills[Icon],"")</f>
        <v/>
      </c>
    </row>
    <row r="56">
      <c r="C56" s="7">
        <v>6.25E-4</v>
      </c>
      <c r="K56" s="6"/>
      <c r="L56" s="5" t="str">
        <f t="array" ref="L56">XLOOKUP(K56,Skills[Action],Skills[Icon],"")</f>
        <v/>
      </c>
      <c r="M56" s="6"/>
      <c r="N56" s="5" t="str">
        <f t="array" ref="N56">XLOOKUP(M56,Skills[Action],Skills[Icon],"")</f>
        <v/>
      </c>
      <c r="O56" s="6"/>
      <c r="P56" s="5" t="str">
        <f t="array" ref="P56">XLOOKUP(O56,Skills[Action],Skills[Icon],"")</f>
        <v/>
      </c>
      <c r="Q56" s="6"/>
      <c r="R56" s="5" t="str">
        <f t="array" ref="R56">XLOOKUP(Q56,Skills[Action],Skills[Icon],"")</f>
        <v/>
      </c>
      <c r="S56" s="6"/>
      <c r="T56" s="5" t="str">
        <f t="array" ref="T56">XLOOKUP(S56,Skills[Action],Skills[Icon],"")</f>
        <v/>
      </c>
      <c r="U56" s="6"/>
      <c r="V56" s="5" t="str">
        <f t="array" ref="V56">XLOOKUP(U56,Skills[Action],Skills[Icon],"")</f>
        <v/>
      </c>
    </row>
    <row r="57">
      <c r="C57" s="7">
        <v>6.365740740740741E-4</v>
      </c>
      <c r="K57" s="6"/>
      <c r="L57" s="5" t="str">
        <f t="array" ref="L57">XLOOKUP(K57,Skills[Action],Skills[Icon],"")</f>
        <v/>
      </c>
      <c r="M57" s="6"/>
      <c r="N57" s="5" t="str">
        <f t="array" ref="N57">XLOOKUP(M57,Skills[Action],Skills[Icon],"")</f>
        <v/>
      </c>
      <c r="O57" s="6"/>
      <c r="P57" s="5" t="str">
        <f t="array" ref="P57">XLOOKUP(O57,Skills[Action],Skills[Icon],"")</f>
        <v/>
      </c>
      <c r="Q57" s="6"/>
      <c r="R57" s="5" t="str">
        <f t="array" ref="R57">XLOOKUP(Q57,Skills[Action],Skills[Icon],"")</f>
        <v/>
      </c>
      <c r="S57" s="6"/>
      <c r="T57" s="5" t="str">
        <f t="array" ref="T57">XLOOKUP(S57,Skills[Action],Skills[Icon],"")</f>
        <v/>
      </c>
      <c r="U57" s="6"/>
      <c r="V57" s="5" t="str">
        <f t="array" ref="V57">XLOOKUP(U57,Skills[Action],Skills[Icon],"")</f>
        <v/>
      </c>
    </row>
    <row r="58">
      <c r="C58" s="7">
        <v>6.481481481481481E-4</v>
      </c>
      <c r="K58" s="6"/>
      <c r="L58" s="5" t="str">
        <f t="array" ref="L58">XLOOKUP(K58,Skills[Action],Skills[Icon],"")</f>
        <v/>
      </c>
      <c r="M58" s="6"/>
      <c r="N58" s="5" t="str">
        <f t="array" ref="N58">XLOOKUP(M58,Skills[Action],Skills[Icon],"")</f>
        <v/>
      </c>
      <c r="O58" s="6"/>
      <c r="P58" s="5" t="str">
        <f t="array" ref="P58">XLOOKUP(O58,Skills[Action],Skills[Icon],"")</f>
        <v/>
      </c>
      <c r="Q58" s="6"/>
      <c r="R58" s="5" t="str">
        <f t="array" ref="R58">XLOOKUP(Q58,Skills[Action],Skills[Icon],"")</f>
        <v/>
      </c>
      <c r="S58" s="6"/>
      <c r="T58" s="5" t="str">
        <f t="array" ref="T58">XLOOKUP(S58,Skills[Action],Skills[Icon],"")</f>
        <v/>
      </c>
      <c r="U58" s="6"/>
      <c r="V58" s="5" t="str">
        <f t="array" ref="V58">XLOOKUP(U58,Skills[Action],Skills[Icon],"")</f>
        <v/>
      </c>
    </row>
    <row r="59">
      <c r="C59" s="7">
        <v>6.597222222222222E-4</v>
      </c>
      <c r="K59" s="6"/>
      <c r="L59" s="5" t="str">
        <f t="array" ref="L59">XLOOKUP(K59,Skills[Action],Skills[Icon],"")</f>
        <v/>
      </c>
      <c r="M59" s="6"/>
      <c r="N59" s="5" t="str">
        <f t="array" ref="N59">XLOOKUP(M59,Skills[Action],Skills[Icon],"")</f>
        <v/>
      </c>
      <c r="O59" s="6"/>
      <c r="P59" s="5" t="str">
        <f t="array" ref="P59">XLOOKUP(O59,Skills[Action],Skills[Icon],"")</f>
        <v/>
      </c>
      <c r="Q59" s="6"/>
      <c r="R59" s="5" t="str">
        <f t="array" ref="R59">XLOOKUP(Q59,Skills[Action],Skills[Icon],"")</f>
        <v/>
      </c>
      <c r="S59" s="6"/>
      <c r="T59" s="5" t="str">
        <f t="array" ref="T59">XLOOKUP(S59,Skills[Action],Skills[Icon],"")</f>
        <v/>
      </c>
      <c r="U59" s="6"/>
      <c r="V59" s="5" t="str">
        <f t="array" ref="V59">XLOOKUP(U59,Skills[Action],Skills[Icon],"")</f>
        <v/>
      </c>
    </row>
    <row r="60">
      <c r="C60" s="7">
        <v>6.712962962962962E-4</v>
      </c>
      <c r="K60" s="6"/>
      <c r="L60" s="5" t="str">
        <f t="array" ref="L60">XLOOKUP(K60,Skills[Action],Skills[Icon],"")</f>
        <v/>
      </c>
      <c r="M60" s="6"/>
      <c r="N60" s="5" t="str">
        <f t="array" ref="N60">XLOOKUP(M60,Skills[Action],Skills[Icon],"")</f>
        <v/>
      </c>
      <c r="O60" s="6"/>
      <c r="P60" s="5" t="str">
        <f t="array" ref="P60">XLOOKUP(O60,Skills[Action],Skills[Icon],"")</f>
        <v/>
      </c>
      <c r="Q60" s="6"/>
      <c r="R60" s="5" t="str">
        <f t="array" ref="R60">XLOOKUP(Q60,Skills[Action],Skills[Icon],"")</f>
        <v/>
      </c>
      <c r="S60" s="6"/>
      <c r="T60" s="5" t="str">
        <f t="array" ref="T60">XLOOKUP(S60,Skills[Action],Skills[Icon],"")</f>
        <v/>
      </c>
      <c r="U60" s="6"/>
      <c r="V60" s="5" t="str">
        <f t="array" ref="V60">XLOOKUP(U60,Skills[Action],Skills[Icon],"")</f>
        <v/>
      </c>
    </row>
    <row r="61">
      <c r="C61" s="7">
        <v>6.828703703703704E-4</v>
      </c>
      <c r="K61" s="6"/>
      <c r="L61" s="5" t="str">
        <f t="array" ref="L61">XLOOKUP(K61,Skills[Action],Skills[Icon],"")</f>
        <v/>
      </c>
      <c r="M61" s="6"/>
      <c r="N61" s="5" t="str">
        <f t="array" ref="N61">XLOOKUP(M61,Skills[Action],Skills[Icon],"")</f>
        <v/>
      </c>
      <c r="O61" s="6"/>
      <c r="P61" s="5" t="str">
        <f t="array" ref="P61">XLOOKUP(O61,Skills[Action],Skills[Icon],"")</f>
        <v/>
      </c>
      <c r="Q61" s="6"/>
      <c r="R61" s="5" t="str">
        <f t="array" ref="R61">XLOOKUP(Q61,Skills[Action],Skills[Icon],"")</f>
        <v/>
      </c>
      <c r="S61" s="6"/>
      <c r="T61" s="5" t="str">
        <f t="array" ref="T61">XLOOKUP(S61,Skills[Action],Skills[Icon],"")</f>
        <v/>
      </c>
      <c r="U61" s="6"/>
      <c r="V61" s="5" t="str">
        <f t="array" ref="V61">XLOOKUP(U61,Skills[Action],Skills[Icon],"")</f>
        <v/>
      </c>
    </row>
    <row r="62">
      <c r="C62" s="7">
        <v>6.944444444444445E-4</v>
      </c>
      <c r="K62" s="6"/>
      <c r="L62" s="5" t="str">
        <f t="array" ref="L62">XLOOKUP(K62,Skills[Action],Skills[Icon],"")</f>
        <v/>
      </c>
      <c r="M62" s="6"/>
      <c r="N62" s="5" t="str">
        <f t="array" ref="N62">XLOOKUP(M62,Skills[Action],Skills[Icon],"")</f>
        <v/>
      </c>
      <c r="O62" s="6"/>
      <c r="P62" s="5" t="str">
        <f t="array" ref="P62">XLOOKUP(O62,Skills[Action],Skills[Icon],"")</f>
        <v/>
      </c>
      <c r="Q62" s="6"/>
      <c r="R62" s="5" t="str">
        <f t="array" ref="R62">XLOOKUP(Q62,Skills[Action],Skills[Icon],"")</f>
        <v/>
      </c>
      <c r="S62" s="6"/>
      <c r="T62" s="5" t="str">
        <f t="array" ref="T62">XLOOKUP(S62,Skills[Action],Skills[Icon],"")</f>
        <v/>
      </c>
      <c r="U62" s="6"/>
      <c r="V62" s="5" t="str">
        <f t="array" ref="V62">XLOOKUP(U62,Skills[Action],Skills[Icon],"")</f>
        <v/>
      </c>
    </row>
    <row r="63">
      <c r="C63" s="7">
        <v>7.060185185185185E-4</v>
      </c>
      <c r="K63" s="6"/>
      <c r="L63" s="5" t="str">
        <f t="array" ref="L63">XLOOKUP(K63,Skills[Action],Skills[Icon],"")</f>
        <v/>
      </c>
      <c r="M63" s="6"/>
      <c r="N63" s="5" t="str">
        <f t="array" ref="N63">XLOOKUP(M63,Skills[Action],Skills[Icon],"")</f>
        <v/>
      </c>
      <c r="O63" s="6"/>
      <c r="P63" s="5" t="str">
        <f t="array" ref="P63">XLOOKUP(O63,Skills[Action],Skills[Icon],"")</f>
        <v/>
      </c>
      <c r="Q63" s="6"/>
      <c r="R63" s="5" t="str">
        <f t="array" ref="R63">XLOOKUP(Q63,Skills[Action],Skills[Icon],"")</f>
        <v/>
      </c>
      <c r="S63" s="6"/>
      <c r="T63" s="5" t="str">
        <f t="array" ref="T63">XLOOKUP(S63,Skills[Action],Skills[Icon],"")</f>
        <v/>
      </c>
      <c r="U63" s="6"/>
      <c r="V63" s="5" t="str">
        <f t="array" ref="V63">XLOOKUP(U63,Skills[Action],Skills[Icon],"")</f>
        <v/>
      </c>
    </row>
    <row r="64">
      <c r="C64" s="7">
        <v>7.175925925925926E-4</v>
      </c>
      <c r="K64" s="6"/>
      <c r="L64" s="5" t="str">
        <f t="array" ref="L64">XLOOKUP(K64,Skills[Action],Skills[Icon],"")</f>
        <v/>
      </c>
      <c r="M64" s="6"/>
      <c r="N64" s="5" t="str">
        <f t="array" ref="N64">XLOOKUP(M64,Skills[Action],Skills[Icon],"")</f>
        <v/>
      </c>
      <c r="O64" s="6"/>
      <c r="P64" s="5" t="str">
        <f t="array" ref="P64">XLOOKUP(O64,Skills[Action],Skills[Icon],"")</f>
        <v/>
      </c>
      <c r="Q64" s="6"/>
      <c r="R64" s="5" t="str">
        <f t="array" ref="R64">XLOOKUP(Q64,Skills[Action],Skills[Icon],"")</f>
        <v/>
      </c>
      <c r="S64" s="6"/>
      <c r="T64" s="5" t="str">
        <f t="array" ref="T64">XLOOKUP(S64,Skills[Action],Skills[Icon],"")</f>
        <v/>
      </c>
      <c r="U64" s="6"/>
      <c r="V64" s="5" t="str">
        <f t="array" ref="V64">XLOOKUP(U64,Skills[Action],Skills[Icon],"")</f>
        <v/>
      </c>
    </row>
    <row r="65">
      <c r="C65" s="7">
        <v>7.291666666666667E-4</v>
      </c>
      <c r="K65" s="6"/>
      <c r="L65" s="5" t="str">
        <f t="array" ref="L65">XLOOKUP(K65,Skills[Action],Skills[Icon],"")</f>
        <v/>
      </c>
      <c r="M65" s="6"/>
      <c r="N65" s="5" t="str">
        <f t="array" ref="N65">XLOOKUP(M65,Skills[Action],Skills[Icon],"")</f>
        <v/>
      </c>
      <c r="O65" s="6"/>
      <c r="P65" s="5" t="str">
        <f t="array" ref="P65">XLOOKUP(O65,Skills[Action],Skills[Icon],"")</f>
        <v/>
      </c>
      <c r="Q65" s="6"/>
      <c r="R65" s="5" t="str">
        <f t="array" ref="R65">XLOOKUP(Q65,Skills[Action],Skills[Icon],"")</f>
        <v/>
      </c>
      <c r="S65" s="6"/>
      <c r="T65" s="5" t="str">
        <f t="array" ref="T65">XLOOKUP(S65,Skills[Action],Skills[Icon],"")</f>
        <v/>
      </c>
      <c r="U65" s="6"/>
      <c r="V65" s="5" t="str">
        <f t="array" ref="V65">XLOOKUP(U65,Skills[Action],Skills[Icon],"")</f>
        <v/>
      </c>
    </row>
    <row r="66">
      <c r="C66" s="7">
        <v>7.407407407407407E-4</v>
      </c>
      <c r="K66" s="6"/>
      <c r="L66" s="5" t="str">
        <f t="array" ref="L66">XLOOKUP(K66,Skills[Action],Skills[Icon],"")</f>
        <v/>
      </c>
      <c r="M66" s="6"/>
      <c r="N66" s="5" t="str">
        <f t="array" ref="N66">XLOOKUP(M66,Skills[Action],Skills[Icon],"")</f>
        <v/>
      </c>
      <c r="O66" s="6"/>
      <c r="P66" s="5" t="str">
        <f t="array" ref="P66">XLOOKUP(O66,Skills[Action],Skills[Icon],"")</f>
        <v/>
      </c>
      <c r="Q66" s="6"/>
      <c r="R66" s="5" t="str">
        <f t="array" ref="R66">XLOOKUP(Q66,Skills[Action],Skills[Icon],"")</f>
        <v/>
      </c>
      <c r="S66" s="6"/>
      <c r="T66" s="5" t="str">
        <f t="array" ref="T66">XLOOKUP(S66,Skills[Action],Skills[Icon],"")</f>
        <v/>
      </c>
      <c r="U66" s="6"/>
      <c r="V66" s="5" t="str">
        <f t="array" ref="V66">XLOOKUP(U66,Skills[Action],Skills[Icon],"")</f>
        <v/>
      </c>
    </row>
    <row r="67">
      <c r="C67" s="7">
        <v>7.523148148148148E-4</v>
      </c>
      <c r="K67" s="6"/>
      <c r="L67" s="5" t="str">
        <f t="array" ref="L67">XLOOKUP(K67,Skills[Action],Skills[Icon],"")</f>
        <v/>
      </c>
      <c r="M67" s="6"/>
      <c r="N67" s="5" t="str">
        <f t="array" ref="N67">XLOOKUP(M67,Skills[Action],Skills[Icon],"")</f>
        <v/>
      </c>
      <c r="O67" s="6"/>
      <c r="P67" s="5" t="str">
        <f t="array" ref="P67">XLOOKUP(O67,Skills[Action],Skills[Icon],"")</f>
        <v/>
      </c>
      <c r="Q67" s="6"/>
      <c r="R67" s="5" t="str">
        <f t="array" ref="R67">XLOOKUP(Q67,Skills[Action],Skills[Icon],"")</f>
        <v/>
      </c>
      <c r="S67" s="6"/>
      <c r="T67" s="5" t="str">
        <f t="array" ref="T67">XLOOKUP(S67,Skills[Action],Skills[Icon],"")</f>
        <v/>
      </c>
      <c r="U67" s="6"/>
      <c r="V67" s="5" t="str">
        <f t="array" ref="V67">XLOOKUP(U67,Skills[Action],Skills[Icon],"")</f>
        <v/>
      </c>
    </row>
    <row r="68">
      <c r="C68" s="7">
        <v>7.638888888888889E-4</v>
      </c>
      <c r="K68" s="6"/>
      <c r="L68" s="5" t="str">
        <f t="array" ref="L68">XLOOKUP(K68,Skills[Action],Skills[Icon],"")</f>
        <v/>
      </c>
      <c r="M68" s="6"/>
      <c r="N68" s="5" t="str">
        <f t="array" ref="N68">XLOOKUP(M68,Skills[Action],Skills[Icon],"")</f>
        <v/>
      </c>
      <c r="O68" s="6"/>
      <c r="P68" s="5" t="str">
        <f t="array" ref="P68">XLOOKUP(O68,Skills[Action],Skills[Icon],"")</f>
        <v/>
      </c>
      <c r="Q68" s="6"/>
      <c r="R68" s="5" t="str">
        <f t="array" ref="R68">XLOOKUP(Q68,Skills[Action],Skills[Icon],"")</f>
        <v/>
      </c>
      <c r="S68" s="6"/>
      <c r="T68" s="5" t="str">
        <f t="array" ref="T68">XLOOKUP(S68,Skills[Action],Skills[Icon],"")</f>
        <v/>
      </c>
      <c r="U68" s="6"/>
      <c r="V68" s="5" t="str">
        <f t="array" ref="V68">XLOOKUP(U68,Skills[Action],Skills[Icon],"")</f>
        <v/>
      </c>
    </row>
    <row r="69">
      <c r="C69" s="7">
        <v>7.754629629629629E-4</v>
      </c>
      <c r="K69" s="6"/>
      <c r="L69" s="5" t="str">
        <f t="array" ref="L69">XLOOKUP(K69,Skills[Action],Skills[Icon],"")</f>
        <v/>
      </c>
      <c r="M69" s="6"/>
      <c r="N69" s="5" t="str">
        <f t="array" ref="N69">XLOOKUP(M69,Skills[Action],Skills[Icon],"")</f>
        <v/>
      </c>
      <c r="O69" s="6"/>
      <c r="P69" s="5" t="str">
        <f t="array" ref="P69">XLOOKUP(O69,Skills[Action],Skills[Icon],"")</f>
        <v/>
      </c>
      <c r="Q69" s="6"/>
      <c r="R69" s="5" t="str">
        <f t="array" ref="R69">XLOOKUP(Q69,Skills[Action],Skills[Icon],"")</f>
        <v/>
      </c>
      <c r="S69" s="6"/>
      <c r="T69" s="5" t="str">
        <f t="array" ref="T69">XLOOKUP(S69,Skills[Action],Skills[Icon],"")</f>
        <v/>
      </c>
      <c r="U69" s="6"/>
      <c r="V69" s="5" t="str">
        <f t="array" ref="V69">XLOOKUP(U69,Skills[Action],Skills[Icon],"")</f>
        <v/>
      </c>
    </row>
    <row r="70">
      <c r="C70" s="7">
        <v>7.87037037037037E-4</v>
      </c>
      <c r="K70" s="6"/>
      <c r="L70" s="5" t="str">
        <f t="array" ref="L70">XLOOKUP(K70,Skills[Action],Skills[Icon],"")</f>
        <v/>
      </c>
      <c r="M70" s="6"/>
      <c r="N70" s="5" t="str">
        <f t="array" ref="N70">XLOOKUP(M70,Skills[Action],Skills[Icon],"")</f>
        <v/>
      </c>
      <c r="O70" s="6"/>
      <c r="P70" s="5" t="str">
        <f t="array" ref="P70">XLOOKUP(O70,Skills[Action],Skills[Icon],"")</f>
        <v/>
      </c>
      <c r="Q70" s="6"/>
      <c r="R70" s="5" t="str">
        <f t="array" ref="R70">XLOOKUP(Q70,Skills[Action],Skills[Icon],"")</f>
        <v/>
      </c>
      <c r="S70" s="6"/>
      <c r="T70" s="5" t="str">
        <f t="array" ref="T70">XLOOKUP(S70,Skills[Action],Skills[Icon],"")</f>
        <v/>
      </c>
      <c r="U70" s="6"/>
      <c r="V70" s="5" t="str">
        <f t="array" ref="V70">XLOOKUP(U70,Skills[Action],Skills[Icon],"")</f>
        <v/>
      </c>
    </row>
    <row r="71">
      <c r="C71" s="7">
        <v>7.986111111111112E-4</v>
      </c>
      <c r="K71" s="6"/>
      <c r="L71" s="5" t="str">
        <f t="array" ref="L71">XLOOKUP(K71,Skills[Action],Skills[Icon],"")</f>
        <v/>
      </c>
      <c r="M71" s="6"/>
      <c r="N71" s="5" t="str">
        <f t="array" ref="N71">XLOOKUP(M71,Skills[Action],Skills[Icon],"")</f>
        <v/>
      </c>
      <c r="O71" s="6"/>
      <c r="P71" s="5" t="str">
        <f t="array" ref="P71">XLOOKUP(O71,Skills[Action],Skills[Icon],"")</f>
        <v/>
      </c>
      <c r="Q71" s="6"/>
      <c r="R71" s="5" t="str">
        <f t="array" ref="R71">XLOOKUP(Q71,Skills[Action],Skills[Icon],"")</f>
        <v/>
      </c>
      <c r="S71" s="6"/>
      <c r="T71" s="5" t="str">
        <f t="array" ref="T71">XLOOKUP(S71,Skills[Action],Skills[Icon],"")</f>
        <v/>
      </c>
      <c r="U71" s="6"/>
      <c r="V71" s="5" t="str">
        <f t="array" ref="V71">XLOOKUP(U71,Skills[Action],Skills[Icon],"")</f>
        <v/>
      </c>
    </row>
    <row r="72">
      <c r="C72" s="7">
        <v>8.101851851851852E-4</v>
      </c>
      <c r="K72" s="6"/>
      <c r="L72" s="5" t="str">
        <f t="array" ref="L72">XLOOKUP(K72,Skills[Action],Skills[Icon],"")</f>
        <v/>
      </c>
      <c r="M72" s="6"/>
      <c r="N72" s="5" t="str">
        <f t="array" ref="N72">XLOOKUP(M72,Skills[Action],Skills[Icon],"")</f>
        <v/>
      </c>
      <c r="O72" s="6"/>
      <c r="P72" s="5" t="str">
        <f t="array" ref="P72">XLOOKUP(O72,Skills[Action],Skills[Icon],"")</f>
        <v/>
      </c>
      <c r="Q72" s="6"/>
      <c r="R72" s="5" t="str">
        <f t="array" ref="R72">XLOOKUP(Q72,Skills[Action],Skills[Icon],"")</f>
        <v/>
      </c>
      <c r="S72" s="6"/>
      <c r="T72" s="5" t="str">
        <f t="array" ref="T72">XLOOKUP(S72,Skills[Action],Skills[Icon],"")</f>
        <v/>
      </c>
      <c r="U72" s="6"/>
      <c r="V72" s="5" t="str">
        <f t="array" ref="V72">XLOOKUP(U72,Skills[Action],Skills[Icon],"")</f>
        <v/>
      </c>
    </row>
    <row r="73">
      <c r="C73" s="7">
        <v>8.217592592592593E-4</v>
      </c>
      <c r="K73" s="6"/>
      <c r="L73" s="5" t="str">
        <f t="array" ref="L73">XLOOKUP(K73,Skills[Action],Skills[Icon],"")</f>
        <v/>
      </c>
      <c r="M73" s="6"/>
      <c r="N73" s="5" t="str">
        <f t="array" ref="N73">XLOOKUP(M73,Skills[Action],Skills[Icon],"")</f>
        <v/>
      </c>
      <c r="O73" s="6"/>
      <c r="P73" s="5" t="str">
        <f t="array" ref="P73">XLOOKUP(O73,Skills[Action],Skills[Icon],"")</f>
        <v/>
      </c>
      <c r="Q73" s="6"/>
      <c r="R73" s="5" t="str">
        <f t="array" ref="R73">XLOOKUP(Q73,Skills[Action],Skills[Icon],"")</f>
        <v/>
      </c>
      <c r="S73" s="6"/>
      <c r="T73" s="5" t="str">
        <f t="array" ref="T73">XLOOKUP(S73,Skills[Action],Skills[Icon],"")</f>
        <v/>
      </c>
      <c r="U73" s="6"/>
      <c r="V73" s="5" t="str">
        <f t="array" ref="V73">XLOOKUP(U73,Skills[Action],Skills[Icon],"")</f>
        <v/>
      </c>
    </row>
    <row r="74">
      <c r="C74" s="7">
        <v>8.333333333333334E-4</v>
      </c>
      <c r="K74" s="6"/>
      <c r="L74" s="5" t="str">
        <f t="array" ref="L74">XLOOKUP(K74,Skills[Action],Skills[Icon],"")</f>
        <v/>
      </c>
      <c r="M74" s="6"/>
      <c r="N74" s="5" t="str">
        <f t="array" ref="N74">XLOOKUP(M74,Skills[Action],Skills[Icon],"")</f>
        <v/>
      </c>
      <c r="O74" s="6"/>
      <c r="P74" s="5" t="str">
        <f t="array" ref="P74">XLOOKUP(O74,Skills[Action],Skills[Icon],"")</f>
        <v/>
      </c>
      <c r="Q74" s="6"/>
      <c r="R74" s="5" t="str">
        <f t="array" ref="R74">XLOOKUP(Q74,Skills[Action],Skills[Icon],"")</f>
        <v/>
      </c>
      <c r="S74" s="6"/>
      <c r="T74" s="5" t="str">
        <f t="array" ref="T74">XLOOKUP(S74,Skills[Action],Skills[Icon],"")</f>
        <v/>
      </c>
      <c r="U74" s="6"/>
      <c r="V74" s="5" t="str">
        <f t="array" ref="V74">XLOOKUP(U74,Skills[Action],Skills[Icon],"")</f>
        <v/>
      </c>
    </row>
    <row r="75">
      <c r="C75" s="7">
        <v>8.449074074074074E-4</v>
      </c>
      <c r="K75" s="6"/>
      <c r="L75" s="5" t="str">
        <f t="array" ref="L75">XLOOKUP(K75,Skills[Action],Skills[Icon],"")</f>
        <v/>
      </c>
      <c r="M75" s="6"/>
      <c r="N75" s="5" t="str">
        <f t="array" ref="N75">XLOOKUP(M75,Skills[Action],Skills[Icon],"")</f>
        <v/>
      </c>
      <c r="O75" s="6"/>
      <c r="P75" s="5" t="str">
        <f t="array" ref="P75">XLOOKUP(O75,Skills[Action],Skills[Icon],"")</f>
        <v/>
      </c>
      <c r="Q75" s="6"/>
      <c r="R75" s="5" t="str">
        <f t="array" ref="R75">XLOOKUP(Q75,Skills[Action],Skills[Icon],"")</f>
        <v/>
      </c>
      <c r="S75" s="6"/>
      <c r="T75" s="5" t="str">
        <f t="array" ref="T75">XLOOKUP(S75,Skills[Action],Skills[Icon],"")</f>
        <v/>
      </c>
      <c r="U75" s="6"/>
      <c r="V75" s="5" t="str">
        <f t="array" ref="V75">XLOOKUP(U75,Skills[Action],Skills[Icon],"")</f>
        <v/>
      </c>
    </row>
    <row r="76">
      <c r="C76" s="7">
        <v>8.564814814814815E-4</v>
      </c>
      <c r="K76" s="6"/>
      <c r="L76" s="5" t="str">
        <f t="array" ref="L76">XLOOKUP(K76,Skills[Action],Skills[Icon],"")</f>
        <v/>
      </c>
      <c r="M76" s="6"/>
      <c r="N76" s="5" t="str">
        <f t="array" ref="N76">XLOOKUP(M76,Skills[Action],Skills[Icon],"")</f>
        <v/>
      </c>
      <c r="O76" s="6"/>
      <c r="P76" s="5" t="str">
        <f t="array" ref="P76">XLOOKUP(O76,Skills[Action],Skills[Icon],"")</f>
        <v/>
      </c>
      <c r="Q76" s="6"/>
      <c r="R76" s="5" t="str">
        <f t="array" ref="R76">XLOOKUP(Q76,Skills[Action],Skills[Icon],"")</f>
        <v/>
      </c>
      <c r="S76" s="6"/>
      <c r="T76" s="5" t="str">
        <f t="array" ref="T76">XLOOKUP(S76,Skills[Action],Skills[Icon],"")</f>
        <v/>
      </c>
      <c r="U76" s="6"/>
      <c r="V76" s="5" t="str">
        <f t="array" ref="V76">XLOOKUP(U76,Skills[Action],Skills[Icon],"")</f>
        <v/>
      </c>
    </row>
    <row r="77">
      <c r="C77" s="7">
        <v>8.680555555555555E-4</v>
      </c>
      <c r="K77" s="6"/>
      <c r="L77" s="5" t="str">
        <f t="array" ref="L77">XLOOKUP(K77,Skills[Action],Skills[Icon],"")</f>
        <v/>
      </c>
      <c r="M77" s="6"/>
      <c r="N77" s="5" t="str">
        <f t="array" ref="N77">XLOOKUP(M77,Skills[Action],Skills[Icon],"")</f>
        <v/>
      </c>
      <c r="O77" s="6"/>
      <c r="P77" s="5" t="str">
        <f t="array" ref="P77">XLOOKUP(O77,Skills[Action],Skills[Icon],"")</f>
        <v/>
      </c>
      <c r="Q77" s="6"/>
      <c r="R77" s="5" t="str">
        <f t="array" ref="R77">XLOOKUP(Q77,Skills[Action],Skills[Icon],"")</f>
        <v/>
      </c>
      <c r="S77" s="6"/>
      <c r="T77" s="5" t="str">
        <f t="array" ref="T77">XLOOKUP(S77,Skills[Action],Skills[Icon],"")</f>
        <v/>
      </c>
      <c r="U77" s="6"/>
      <c r="V77" s="5" t="str">
        <f t="array" ref="V77">XLOOKUP(U77,Skills[Action],Skills[Icon],"")</f>
        <v/>
      </c>
    </row>
    <row r="78">
      <c r="C78" s="7">
        <v>8.796296296296296E-4</v>
      </c>
      <c r="K78" s="6"/>
      <c r="L78" s="5" t="str">
        <f t="array" ref="L78">XLOOKUP(K78,Skills[Action],Skills[Icon],"")</f>
        <v/>
      </c>
      <c r="M78" s="6"/>
      <c r="N78" s="5" t="str">
        <f t="array" ref="N78">XLOOKUP(M78,Skills[Action],Skills[Icon],"")</f>
        <v/>
      </c>
      <c r="O78" s="6"/>
      <c r="P78" s="5" t="str">
        <f t="array" ref="P78">XLOOKUP(O78,Skills[Action],Skills[Icon],"")</f>
        <v/>
      </c>
      <c r="Q78" s="6"/>
      <c r="R78" s="5" t="str">
        <f t="array" ref="R78">XLOOKUP(Q78,Skills[Action],Skills[Icon],"")</f>
        <v/>
      </c>
      <c r="S78" s="6"/>
      <c r="T78" s="5" t="str">
        <f t="array" ref="T78">XLOOKUP(S78,Skills[Action],Skills[Icon],"")</f>
        <v/>
      </c>
      <c r="U78" s="6"/>
      <c r="V78" s="5" t="str">
        <f t="array" ref="V78">XLOOKUP(U78,Skills[Action],Skills[Icon],"")</f>
        <v/>
      </c>
    </row>
    <row r="79">
      <c r="C79" s="7">
        <v>8.912037037037037E-4</v>
      </c>
      <c r="K79" s="6"/>
      <c r="L79" s="5" t="str">
        <f t="array" ref="L79">XLOOKUP(K79,Skills[Action],Skills[Icon],"")</f>
        <v/>
      </c>
      <c r="M79" s="6"/>
      <c r="N79" s="5" t="str">
        <f t="array" ref="N79">XLOOKUP(M79,Skills[Action],Skills[Icon],"")</f>
        <v/>
      </c>
      <c r="O79" s="6"/>
      <c r="P79" s="5" t="str">
        <f t="array" ref="P79">XLOOKUP(O79,Skills[Action],Skills[Icon],"")</f>
        <v/>
      </c>
      <c r="Q79" s="6"/>
      <c r="R79" s="5" t="str">
        <f t="array" ref="R79">XLOOKUP(Q79,Skills[Action],Skills[Icon],"")</f>
        <v/>
      </c>
      <c r="S79" s="6"/>
      <c r="T79" s="5" t="str">
        <f t="array" ref="T79">XLOOKUP(S79,Skills[Action],Skills[Icon],"")</f>
        <v/>
      </c>
      <c r="U79" s="6"/>
      <c r="V79" s="5" t="str">
        <f t="array" ref="V79">XLOOKUP(U79,Skills[Action],Skills[Icon],"")</f>
        <v/>
      </c>
    </row>
    <row r="80">
      <c r="C80" s="7">
        <v>9.027777777777777E-4</v>
      </c>
      <c r="K80" s="6"/>
      <c r="L80" s="5" t="str">
        <f t="array" ref="L80">XLOOKUP(K80,Skills[Action],Skills[Icon],"")</f>
        <v/>
      </c>
      <c r="M80" s="6"/>
      <c r="N80" s="5" t="str">
        <f t="array" ref="N80">XLOOKUP(M80,Skills[Action],Skills[Icon],"")</f>
        <v/>
      </c>
      <c r="O80" s="6"/>
      <c r="P80" s="5" t="str">
        <f t="array" ref="P80">XLOOKUP(O80,Skills[Action],Skills[Icon],"")</f>
        <v/>
      </c>
      <c r="Q80" s="6"/>
      <c r="R80" s="5" t="str">
        <f t="array" ref="R80">XLOOKUP(Q80,Skills[Action],Skills[Icon],"")</f>
        <v/>
      </c>
      <c r="S80" s="6"/>
      <c r="T80" s="5" t="str">
        <f t="array" ref="T80">XLOOKUP(S80,Skills[Action],Skills[Icon],"")</f>
        <v/>
      </c>
      <c r="U80" s="6"/>
      <c r="V80" s="5" t="str">
        <f t="array" ref="V80">XLOOKUP(U80,Skills[Action],Skills[Icon],"")</f>
        <v/>
      </c>
    </row>
    <row r="81">
      <c r="C81" s="7">
        <v>9.143518518518518E-4</v>
      </c>
      <c r="K81" s="6"/>
      <c r="L81" s="5" t="str">
        <f t="array" ref="L81">XLOOKUP(K81,Skills[Action],Skills[Icon],"")</f>
        <v/>
      </c>
      <c r="M81" s="6"/>
      <c r="N81" s="5" t="str">
        <f t="array" ref="N81">XLOOKUP(M81,Skills[Action],Skills[Icon],"")</f>
        <v/>
      </c>
      <c r="O81" s="6"/>
      <c r="P81" s="5" t="str">
        <f t="array" ref="P81">XLOOKUP(O81,Skills[Action],Skills[Icon],"")</f>
        <v/>
      </c>
      <c r="Q81" s="6"/>
      <c r="R81" s="5" t="str">
        <f t="array" ref="R81">XLOOKUP(Q81,Skills[Action],Skills[Icon],"")</f>
        <v/>
      </c>
      <c r="S81" s="6"/>
      <c r="T81" s="5" t="str">
        <f t="array" ref="T81">XLOOKUP(S81,Skills[Action],Skills[Icon],"")</f>
        <v/>
      </c>
      <c r="U81" s="6"/>
      <c r="V81" s="5" t="str">
        <f t="array" ref="V81">XLOOKUP(U81,Skills[Action],Skills[Icon],"")</f>
        <v/>
      </c>
    </row>
    <row r="82">
      <c r="C82" s="7">
        <v>9.25925925925926E-4</v>
      </c>
      <c r="K82" s="6"/>
      <c r="L82" s="5" t="str">
        <f t="array" ref="L82">XLOOKUP(K82,Skills[Action],Skills[Icon],"")</f>
        <v/>
      </c>
      <c r="M82" s="6"/>
      <c r="N82" s="5" t="str">
        <f t="array" ref="N82">XLOOKUP(M82,Skills[Action],Skills[Icon],"")</f>
        <v/>
      </c>
      <c r="O82" s="6"/>
      <c r="P82" s="5" t="str">
        <f t="array" ref="P82">XLOOKUP(O82,Skills[Action],Skills[Icon],"")</f>
        <v/>
      </c>
      <c r="Q82" s="6"/>
      <c r="R82" s="5" t="str">
        <f t="array" ref="R82">XLOOKUP(Q82,Skills[Action],Skills[Icon],"")</f>
        <v/>
      </c>
      <c r="S82" s="6"/>
      <c r="T82" s="5" t="str">
        <f t="array" ref="T82">XLOOKUP(S82,Skills[Action],Skills[Icon],"")</f>
        <v/>
      </c>
      <c r="U82" s="6"/>
      <c r="V82" s="5" t="str">
        <f t="array" ref="V82">XLOOKUP(U82,Skills[Action],Skills[Icon],"")</f>
        <v/>
      </c>
    </row>
    <row r="83">
      <c r="C83" s="7">
        <v>9.375E-4</v>
      </c>
      <c r="L83" s="5" t="str">
        <f t="array" ref="L83">XLOOKUP(K83,Skills[Action],Skills[Icon],"")</f>
        <v/>
      </c>
      <c r="N83" s="5" t="str">
        <f t="array" ref="N83">XLOOKUP(M83,Skills[Action],Skills[Icon],"")</f>
        <v/>
      </c>
      <c r="P83" s="5" t="str">
        <f t="array" ref="P83">XLOOKUP(O83,Skills[Action],Skills[Icon],"")</f>
        <v/>
      </c>
      <c r="R83" s="5" t="str">
        <f t="array" ref="R83">XLOOKUP(Q83,Skills[Action],Skills[Icon],"")</f>
        <v/>
      </c>
      <c r="T83" s="5" t="str">
        <f t="array" ref="T83">XLOOKUP(S83,Skills[Action],Skills[Icon],"")</f>
        <v/>
      </c>
      <c r="V83" s="5" t="str">
        <f t="array" ref="V83">XLOOKUP(U83,Skills[Action],Skills[Icon],"")</f>
        <v/>
      </c>
    </row>
    <row r="84">
      <c r="C84" s="7">
        <v>9.490740740740741E-4</v>
      </c>
      <c r="L84" s="5" t="str">
        <f t="array" ref="L84">XLOOKUP(K84,Skills[Action],Skills[Icon],"")</f>
        <v/>
      </c>
      <c r="N84" s="5" t="str">
        <f t="array" ref="N84">XLOOKUP(M84,Skills[Action],Skills[Icon],"")</f>
        <v/>
      </c>
      <c r="P84" s="5" t="str">
        <f t="array" ref="P84">XLOOKUP(O84,Skills[Action],Skills[Icon],"")</f>
        <v/>
      </c>
      <c r="R84" s="5" t="str">
        <f t="array" ref="R84">XLOOKUP(Q84,Skills[Action],Skills[Icon],"")</f>
        <v/>
      </c>
      <c r="T84" s="5" t="str">
        <f t="array" ref="T84">XLOOKUP(S84,Skills[Action],Skills[Icon],"")</f>
        <v/>
      </c>
      <c r="V84" s="5" t="str">
        <f t="array" ref="V84">XLOOKUP(U84,Skills[Action],Skills[Icon],"")</f>
        <v/>
      </c>
    </row>
    <row r="85">
      <c r="C85" s="7">
        <v>9.606481481481482E-4</v>
      </c>
      <c r="L85" s="5" t="str">
        <f t="array" ref="L85">XLOOKUP(K85,Skills[Action],Skills[Icon],"")</f>
        <v/>
      </c>
      <c r="N85" s="5" t="str">
        <f t="array" ref="N85">XLOOKUP(M85,Skills[Action],Skills[Icon],"")</f>
        <v/>
      </c>
      <c r="P85" s="5" t="str">
        <f t="array" ref="P85">XLOOKUP(O85,Skills[Action],Skills[Icon],"")</f>
        <v/>
      </c>
      <c r="R85" s="5" t="str">
        <f t="array" ref="R85">XLOOKUP(Q85,Skills[Action],Skills[Icon],"")</f>
        <v/>
      </c>
      <c r="T85" s="5" t="str">
        <f t="array" ref="T85">XLOOKUP(S85,Skills[Action],Skills[Icon],"")</f>
        <v/>
      </c>
      <c r="V85" s="5" t="str">
        <f t="array" ref="V85">XLOOKUP(U85,Skills[Action],Skills[Icon],"")</f>
        <v/>
      </c>
    </row>
    <row r="86">
      <c r="C86" s="7">
        <v>9.722222222222222E-4</v>
      </c>
      <c r="L86" s="5" t="str">
        <f t="array" ref="L86">XLOOKUP(K86,Skills[Action],Skills[Icon],"")</f>
        <v/>
      </c>
      <c r="N86" s="5" t="str">
        <f t="array" ref="N86">XLOOKUP(M86,Skills[Action],Skills[Icon],"")</f>
        <v/>
      </c>
      <c r="P86" s="5" t="str">
        <f t="array" ref="P86">XLOOKUP(O86,Skills[Action],Skills[Icon],"")</f>
        <v/>
      </c>
      <c r="R86" s="5" t="str">
        <f t="array" ref="R86">XLOOKUP(Q86,Skills[Action],Skills[Icon],"")</f>
        <v/>
      </c>
      <c r="T86" s="5" t="str">
        <f t="array" ref="T86">XLOOKUP(S86,Skills[Action],Skills[Icon],"")</f>
        <v/>
      </c>
      <c r="V86" s="5" t="str">
        <f t="array" ref="V86">XLOOKUP(U86,Skills[Action],Skills[Icon],"")</f>
        <v/>
      </c>
    </row>
    <row r="87">
      <c r="C87" s="7">
        <v>9.837962962962962E-4</v>
      </c>
      <c r="L87" s="5" t="str">
        <f t="array" ref="L87">XLOOKUP(K87,Skills[Action],Skills[Icon],"")</f>
        <v/>
      </c>
      <c r="N87" s="5" t="str">
        <f t="array" ref="N87">XLOOKUP(M87,Skills[Action],Skills[Icon],"")</f>
        <v/>
      </c>
      <c r="P87" s="5" t="str">
        <f t="array" ref="P87">XLOOKUP(O87,Skills[Action],Skills[Icon],"")</f>
        <v/>
      </c>
      <c r="R87" s="5" t="str">
        <f t="array" ref="R87">XLOOKUP(Q87,Skills[Action],Skills[Icon],"")</f>
        <v/>
      </c>
      <c r="T87" s="5" t="str">
        <f t="array" ref="T87">XLOOKUP(S87,Skills[Action],Skills[Icon],"")</f>
        <v/>
      </c>
      <c r="V87" s="5" t="str">
        <f t="array" ref="V87">XLOOKUP(U87,Skills[Action],Skills[Icon],"")</f>
        <v/>
      </c>
    </row>
    <row r="88">
      <c r="C88" s="7">
        <v>9.953703703703704E-4</v>
      </c>
      <c r="L88" s="5" t="str">
        <f t="array" ref="L88">XLOOKUP(K88,Skills[Action],Skills[Icon],"")</f>
        <v/>
      </c>
      <c r="N88" s="5" t="str">
        <f t="array" ref="N88">XLOOKUP(M88,Skills[Action],Skills[Icon],"")</f>
        <v/>
      </c>
      <c r="P88" s="5" t="str">
        <f t="array" ref="P88">XLOOKUP(O88,Skills[Action],Skills[Icon],"")</f>
        <v/>
      </c>
      <c r="R88" s="5" t="str">
        <f t="array" ref="R88">XLOOKUP(Q88,Skills[Action],Skills[Icon],"")</f>
        <v/>
      </c>
      <c r="T88" s="5" t="str">
        <f t="array" ref="T88">XLOOKUP(S88,Skills[Action],Skills[Icon],"")</f>
        <v/>
      </c>
      <c r="V88" s="5" t="str">
        <f t="array" ref="V88">XLOOKUP(U88,Skills[Action],Skills[Icon],"")</f>
        <v/>
      </c>
    </row>
    <row r="89">
      <c r="C89" s="7">
        <v>0.0010069444444444444</v>
      </c>
      <c r="L89" s="5" t="str">
        <f t="array" ref="L89">XLOOKUP(K89,Skills[Action],Skills[Icon],"")</f>
        <v/>
      </c>
      <c r="N89" s="5" t="str">
        <f t="array" ref="N89">XLOOKUP(M89,Skills[Action],Skills[Icon],"")</f>
        <v/>
      </c>
      <c r="P89" s="5" t="str">
        <f t="array" ref="P89">XLOOKUP(O89,Skills[Action],Skills[Icon],"")</f>
        <v/>
      </c>
      <c r="R89" s="5" t="str">
        <f t="array" ref="R89">XLOOKUP(Q89,Skills[Action],Skills[Icon],"")</f>
        <v/>
      </c>
      <c r="T89" s="5" t="str">
        <f t="array" ref="T89">XLOOKUP(S89,Skills[Action],Skills[Icon],"")</f>
        <v/>
      </c>
      <c r="V89" s="5" t="str">
        <f t="array" ref="V89">XLOOKUP(U89,Skills[Action],Skills[Icon],"")</f>
        <v/>
      </c>
    </row>
    <row r="90">
      <c r="C90" s="7">
        <v>0.0010185185185185184</v>
      </c>
      <c r="L90" s="5" t="str">
        <f t="array" ref="L90">XLOOKUP(K90,Skills[Action],Skills[Icon],"")</f>
        <v/>
      </c>
      <c r="N90" s="5" t="str">
        <f t="array" ref="N90">XLOOKUP(M90,Skills[Action],Skills[Icon],"")</f>
        <v/>
      </c>
      <c r="P90" s="5" t="str">
        <f t="array" ref="P90">XLOOKUP(O90,Skills[Action],Skills[Icon],"")</f>
        <v/>
      </c>
      <c r="R90" s="5" t="str">
        <f t="array" ref="R90">XLOOKUP(Q90,Skills[Action],Skills[Icon],"")</f>
        <v/>
      </c>
      <c r="T90" s="5" t="str">
        <f t="array" ref="T90">XLOOKUP(S90,Skills[Action],Skills[Icon],"")</f>
        <v/>
      </c>
      <c r="V90" s="5" t="str">
        <f t="array" ref="V90">XLOOKUP(U90,Skills[Action],Skills[Icon],"")</f>
        <v/>
      </c>
    </row>
    <row r="91">
      <c r="C91" s="7">
        <v>0.0010300925925925926</v>
      </c>
      <c r="L91" s="5" t="str">
        <f t="array" ref="L91">XLOOKUP(K91,Skills[Action],Skills[Icon],"")</f>
        <v/>
      </c>
      <c r="N91" s="5" t="str">
        <f t="array" ref="N91">XLOOKUP(M91,Skills[Action],Skills[Icon],"")</f>
        <v/>
      </c>
      <c r="P91" s="5" t="str">
        <f t="array" ref="P91">XLOOKUP(O91,Skills[Action],Skills[Icon],"")</f>
        <v/>
      </c>
      <c r="R91" s="5" t="str">
        <f t="array" ref="R91">XLOOKUP(Q91,Skills[Action],Skills[Icon],"")</f>
        <v/>
      </c>
      <c r="T91" s="5" t="str">
        <f t="array" ref="T91">XLOOKUP(S91,Skills[Action],Skills[Icon],"")</f>
        <v/>
      </c>
      <c r="V91" s="5" t="str">
        <f t="array" ref="V91">XLOOKUP(U91,Skills[Action],Skills[Icon],"")</f>
        <v/>
      </c>
    </row>
    <row r="92">
      <c r="C92" s="7">
        <v>0.0010416666666666667</v>
      </c>
      <c r="L92" s="5" t="str">
        <f t="array" ref="L92">XLOOKUP(K92,Skills[Action],Skills[Icon],"")</f>
        <v/>
      </c>
      <c r="N92" s="5" t="str">
        <f t="array" ref="N92">XLOOKUP(M92,Skills[Action],Skills[Icon],"")</f>
        <v/>
      </c>
      <c r="P92" s="5" t="str">
        <f t="array" ref="P92">XLOOKUP(O92,Skills[Action],Skills[Icon],"")</f>
        <v/>
      </c>
      <c r="R92" s="5" t="str">
        <f t="array" ref="R92">XLOOKUP(Q92,Skills[Action],Skills[Icon],"")</f>
        <v/>
      </c>
      <c r="T92" s="5" t="str">
        <f t="array" ref="T92">XLOOKUP(S92,Skills[Action],Skills[Icon],"")</f>
        <v/>
      </c>
      <c r="V92" s="5" t="str">
        <f t="array" ref="V92">XLOOKUP(U92,Skills[Action],Skills[Icon],"")</f>
        <v/>
      </c>
    </row>
    <row r="93">
      <c r="C93" s="7">
        <v>0.0010532407407407407</v>
      </c>
      <c r="L93" s="5" t="str">
        <f t="array" ref="L93">XLOOKUP(K93,Skills[Action],Skills[Icon],"")</f>
        <v/>
      </c>
      <c r="N93" s="5" t="str">
        <f t="array" ref="N93">XLOOKUP(M93,Skills[Action],Skills[Icon],"")</f>
        <v/>
      </c>
      <c r="P93" s="5" t="str">
        <f t="array" ref="P93">XLOOKUP(O93,Skills[Action],Skills[Icon],"")</f>
        <v/>
      </c>
      <c r="R93" s="5" t="str">
        <f t="array" ref="R93">XLOOKUP(Q93,Skills[Action],Skills[Icon],"")</f>
        <v/>
      </c>
      <c r="T93" s="5" t="str">
        <f t="array" ref="T93">XLOOKUP(S93,Skills[Action],Skills[Icon],"")</f>
        <v/>
      </c>
      <c r="V93" s="5" t="str">
        <f t="array" ref="V93">XLOOKUP(U93,Skills[Action],Skills[Icon],"")</f>
        <v/>
      </c>
    </row>
    <row r="94">
      <c r="C94" s="7">
        <v>0.0010648148148148149</v>
      </c>
      <c r="L94" s="5" t="str">
        <f t="array" ref="L94">XLOOKUP(K94,Skills[Action],Skills[Icon],"")</f>
        <v/>
      </c>
      <c r="N94" s="5" t="str">
        <f t="array" ref="N94">XLOOKUP(M94,Skills[Action],Skills[Icon],"")</f>
        <v/>
      </c>
      <c r="P94" s="5" t="str">
        <f t="array" ref="P94">XLOOKUP(O94,Skills[Action],Skills[Icon],"")</f>
        <v/>
      </c>
      <c r="R94" s="5" t="str">
        <f t="array" ref="R94">XLOOKUP(Q94,Skills[Action],Skills[Icon],"")</f>
        <v/>
      </c>
      <c r="T94" s="5" t="str">
        <f t="array" ref="T94">XLOOKUP(S94,Skills[Action],Skills[Icon],"")</f>
        <v/>
      </c>
      <c r="V94" s="5" t="str">
        <f t="array" ref="V94">XLOOKUP(U94,Skills[Action],Skills[Icon],"")</f>
        <v/>
      </c>
    </row>
    <row r="95">
      <c r="C95" s="7">
        <v>0.0010763888888888889</v>
      </c>
      <c r="L95" s="5" t="str">
        <f t="array" ref="L95">XLOOKUP(K95,Skills[Action],Skills[Icon],"")</f>
        <v/>
      </c>
      <c r="N95" s="5" t="str">
        <f t="array" ref="N95">XLOOKUP(M95,Skills[Action],Skills[Icon],"")</f>
        <v/>
      </c>
      <c r="P95" s="5" t="str">
        <f t="array" ref="P95">XLOOKUP(O95,Skills[Action],Skills[Icon],"")</f>
        <v/>
      </c>
      <c r="R95" s="5" t="str">
        <f t="array" ref="R95">XLOOKUP(Q95,Skills[Action],Skills[Icon],"")</f>
        <v/>
      </c>
      <c r="T95" s="5" t="str">
        <f t="array" ref="T95">XLOOKUP(S95,Skills[Action],Skills[Icon],"")</f>
        <v/>
      </c>
      <c r="V95" s="5" t="str">
        <f t="array" ref="V95">XLOOKUP(U95,Skills[Action],Skills[Icon],"")</f>
        <v/>
      </c>
    </row>
    <row r="96">
      <c r="C96" s="7">
        <v>0.0010879629629629629</v>
      </c>
      <c r="L96" s="5" t="str">
        <f t="array" ref="L96">XLOOKUP(K96,Skills[Action],Skills[Icon],"")</f>
        <v/>
      </c>
      <c r="N96" s="5" t="str">
        <f t="array" ref="N96">XLOOKUP(M96,Skills[Action],Skills[Icon],"")</f>
        <v/>
      </c>
      <c r="P96" s="5" t="str">
        <f t="array" ref="P96">XLOOKUP(O96,Skills[Action],Skills[Icon],"")</f>
        <v/>
      </c>
      <c r="R96" s="5" t="str">
        <f t="array" ref="R96">XLOOKUP(Q96,Skills[Action],Skills[Icon],"")</f>
        <v/>
      </c>
      <c r="T96" s="5" t="str">
        <f t="array" ref="T96">XLOOKUP(S96,Skills[Action],Skills[Icon],"")</f>
        <v/>
      </c>
      <c r="V96" s="5" t="str">
        <f t="array" ref="V96">XLOOKUP(U96,Skills[Action],Skills[Icon],"")</f>
        <v/>
      </c>
    </row>
    <row r="97">
      <c r="C97" s="7">
        <v>0.001099537037037037</v>
      </c>
      <c r="L97" s="5" t="str">
        <f t="array" ref="L97">XLOOKUP(K97,Skills[Action],Skills[Icon],"")</f>
        <v/>
      </c>
      <c r="N97" s="5" t="str">
        <f t="array" ref="N97">XLOOKUP(M97,Skills[Action],Skills[Icon],"")</f>
        <v/>
      </c>
      <c r="P97" s="5" t="str">
        <f t="array" ref="P97">XLOOKUP(O97,Skills[Action],Skills[Icon],"")</f>
        <v/>
      </c>
      <c r="R97" s="5" t="str">
        <f t="array" ref="R97">XLOOKUP(Q97,Skills[Action],Skills[Icon],"")</f>
        <v/>
      </c>
      <c r="T97" s="5" t="str">
        <f t="array" ref="T97">XLOOKUP(S97,Skills[Action],Skills[Icon],"")</f>
        <v/>
      </c>
      <c r="V97" s="5" t="str">
        <f t="array" ref="V97">XLOOKUP(U97,Skills[Action],Skills[Icon],"")</f>
        <v/>
      </c>
    </row>
    <row r="98">
      <c r="C98" s="7">
        <v>0.0011111111111111111</v>
      </c>
      <c r="L98" s="5" t="str">
        <f t="array" ref="L98">XLOOKUP(K98,Skills[Action],Skills[Icon],"")</f>
        <v/>
      </c>
      <c r="N98" s="5" t="str">
        <f t="array" ref="N98">XLOOKUP(M98,Skills[Action],Skills[Icon],"")</f>
        <v/>
      </c>
      <c r="P98" s="5" t="str">
        <f t="array" ref="P98">XLOOKUP(O98,Skills[Action],Skills[Icon],"")</f>
        <v/>
      </c>
      <c r="R98" s="5" t="str">
        <f t="array" ref="R98">XLOOKUP(Q98,Skills[Action],Skills[Icon],"")</f>
        <v/>
      </c>
      <c r="T98" s="5" t="str">
        <f t="array" ref="T98">XLOOKUP(S98,Skills[Action],Skills[Icon],"")</f>
        <v/>
      </c>
      <c r="V98" s="5" t="str">
        <f t="array" ref="V98">XLOOKUP(U98,Skills[Action],Skills[Icon],"")</f>
        <v/>
      </c>
    </row>
    <row r="99">
      <c r="C99" s="7">
        <v>0.0011226851851851851</v>
      </c>
      <c r="L99" s="5" t="str">
        <f t="array" ref="L99">XLOOKUP(K99,Skills[Action],Skills[Icon],"")</f>
        <v/>
      </c>
      <c r="N99" s="5" t="str">
        <f t="array" ref="N99">XLOOKUP(M99,Skills[Action],Skills[Icon],"")</f>
        <v/>
      </c>
      <c r="P99" s="5" t="str">
        <f t="array" ref="P99">XLOOKUP(O99,Skills[Action],Skills[Icon],"")</f>
        <v/>
      </c>
      <c r="R99" s="5" t="str">
        <f t="array" ref="R99">XLOOKUP(Q99,Skills[Action],Skills[Icon],"")</f>
        <v/>
      </c>
      <c r="T99" s="5" t="str">
        <f t="array" ref="T99">XLOOKUP(S99,Skills[Action],Skills[Icon],"")</f>
        <v/>
      </c>
      <c r="V99" s="5" t="str">
        <f t="array" ref="V99">XLOOKUP(U99,Skills[Action],Skills[Icon],"")</f>
        <v/>
      </c>
    </row>
    <row r="100">
      <c r="C100" s="7">
        <v>0.0011342592592592593</v>
      </c>
      <c r="L100" s="5" t="str">
        <f t="array" ref="L100">XLOOKUP(K100,Skills[Action],Skills[Icon],"")</f>
        <v/>
      </c>
      <c r="N100" s="5" t="str">
        <f t="array" ref="N100">XLOOKUP(M100,Skills[Action],Skills[Icon],"")</f>
        <v/>
      </c>
      <c r="P100" s="5" t="str">
        <f t="array" ref="P100">XLOOKUP(O100,Skills[Action],Skills[Icon],"")</f>
        <v/>
      </c>
      <c r="R100" s="5" t="str">
        <f t="array" ref="R100">XLOOKUP(Q100,Skills[Action],Skills[Icon],"")</f>
        <v/>
      </c>
      <c r="T100" s="5" t="str">
        <f t="array" ref="T100">XLOOKUP(S100,Skills[Action],Skills[Icon],"")</f>
        <v/>
      </c>
      <c r="V100" s="5" t="str">
        <f t="array" ref="V100">XLOOKUP(U100,Skills[Action],Skills[Icon],"")</f>
        <v/>
      </c>
    </row>
    <row r="101">
      <c r="C101" s="7">
        <v>0.0011458333333333333</v>
      </c>
      <c r="L101" s="5" t="str">
        <f t="array" ref="L101">XLOOKUP(K101,Skills[Action],Skills[Icon],"")</f>
        <v/>
      </c>
      <c r="N101" s="5" t="str">
        <f t="array" ref="N101">XLOOKUP(M101,Skills[Action],Skills[Icon],"")</f>
        <v/>
      </c>
      <c r="P101" s="5" t="str">
        <f t="array" ref="P101">XLOOKUP(O101,Skills[Action],Skills[Icon],"")</f>
        <v/>
      </c>
      <c r="R101" s="5" t="str">
        <f t="array" ref="R101">XLOOKUP(Q101,Skills[Action],Skills[Icon],"")</f>
        <v/>
      </c>
      <c r="T101" s="5" t="str">
        <f t="array" ref="T101">XLOOKUP(S101,Skills[Action],Skills[Icon],"")</f>
        <v/>
      </c>
      <c r="V101" s="5" t="str">
        <f t="array" ref="V101">XLOOKUP(U101,Skills[Action],Skills[Icon],"")</f>
        <v/>
      </c>
    </row>
    <row r="102">
      <c r="C102" s="7">
        <v>0.0011574074074074073</v>
      </c>
      <c r="L102" s="5" t="str">
        <f t="array" ref="L102">XLOOKUP(K102,Skills[Action],Skills[Icon],"")</f>
        <v/>
      </c>
      <c r="N102" s="5" t="str">
        <f t="array" ref="N102">XLOOKUP(M102,Skills[Action],Skills[Icon],"")</f>
        <v/>
      </c>
      <c r="P102" s="5" t="str">
        <f t="array" ref="P102">XLOOKUP(O102,Skills[Action],Skills[Icon],"")</f>
        <v/>
      </c>
      <c r="R102" s="5" t="str">
        <f t="array" ref="R102">XLOOKUP(Q102,Skills[Action],Skills[Icon],"")</f>
        <v/>
      </c>
      <c r="T102" s="5" t="str">
        <f t="array" ref="T102">XLOOKUP(S102,Skills[Action],Skills[Icon],"")</f>
        <v/>
      </c>
      <c r="V102" s="5" t="str">
        <f t="array" ref="V102">XLOOKUP(U102,Skills[Action],Skills[Icon],"")</f>
        <v/>
      </c>
    </row>
    <row r="103">
      <c r="C103" s="7">
        <v>0.0011689814814814816</v>
      </c>
      <c r="L103" s="5" t="str">
        <f t="array" ref="L103">XLOOKUP(K103,Skills[Action],Skills[Icon],"")</f>
        <v/>
      </c>
      <c r="N103" s="5" t="str">
        <f t="array" ref="N103">XLOOKUP(M103,Skills[Action],Skills[Icon],"")</f>
        <v/>
      </c>
      <c r="P103" s="5" t="str">
        <f t="array" ref="P103">XLOOKUP(O103,Skills[Action],Skills[Icon],"")</f>
        <v/>
      </c>
      <c r="R103" s="5" t="str">
        <f t="array" ref="R103">XLOOKUP(Q103,Skills[Action],Skills[Icon],"")</f>
        <v/>
      </c>
      <c r="T103" s="5" t="str">
        <f t="array" ref="T103">XLOOKUP(S103,Skills[Action],Skills[Icon],"")</f>
        <v/>
      </c>
      <c r="V103" s="5" t="str">
        <f t="array" ref="V103">XLOOKUP(U103,Skills[Action],Skills[Icon],"")</f>
        <v/>
      </c>
    </row>
    <row r="104">
      <c r="C104" s="7">
        <v>0.0011805555555555556</v>
      </c>
      <c r="L104" s="5" t="str">
        <f t="array" ref="L104">XLOOKUP(K104,Skills[Action],Skills[Icon],"")</f>
        <v/>
      </c>
      <c r="N104" s="5" t="str">
        <f t="array" ref="N104">XLOOKUP(M104,Skills[Action],Skills[Icon],"")</f>
        <v/>
      </c>
      <c r="P104" s="5" t="str">
        <f t="array" ref="P104">XLOOKUP(O104,Skills[Action],Skills[Icon],"")</f>
        <v/>
      </c>
      <c r="R104" s="5" t="str">
        <f t="array" ref="R104">XLOOKUP(Q104,Skills[Action],Skills[Icon],"")</f>
        <v/>
      </c>
      <c r="T104" s="5" t="str">
        <f t="array" ref="T104">XLOOKUP(S104,Skills[Action],Skills[Icon],"")</f>
        <v/>
      </c>
      <c r="V104" s="5" t="str">
        <f t="array" ref="V104">XLOOKUP(U104,Skills[Action],Skills[Icon],"")</f>
        <v/>
      </c>
    </row>
    <row r="105">
      <c r="C105" s="7">
        <v>0.0011921296296296296</v>
      </c>
      <c r="L105" s="5" t="str">
        <f t="array" ref="L105">XLOOKUP(K105,Skills[Action],Skills[Icon],"")</f>
        <v/>
      </c>
      <c r="N105" s="5" t="str">
        <f t="array" ref="N105">XLOOKUP(M105,Skills[Action],Skills[Icon],"")</f>
        <v/>
      </c>
      <c r="P105" s="5" t="str">
        <f t="array" ref="P105">XLOOKUP(O105,Skills[Action],Skills[Icon],"")</f>
        <v/>
      </c>
      <c r="R105" s="5" t="str">
        <f t="array" ref="R105">XLOOKUP(Q105,Skills[Action],Skills[Icon],"")</f>
        <v/>
      </c>
      <c r="T105" s="5" t="str">
        <f t="array" ref="T105">XLOOKUP(S105,Skills[Action],Skills[Icon],"")</f>
        <v/>
      </c>
      <c r="V105" s="5" t="str">
        <f t="array" ref="V105">XLOOKUP(U105,Skills[Action],Skills[Icon],"")</f>
        <v/>
      </c>
    </row>
    <row r="106">
      <c r="C106" s="7">
        <v>0.0012037037037037038</v>
      </c>
      <c r="L106" s="5" t="str">
        <f t="array" ref="L106">XLOOKUP(K106,Skills[Action],Skills[Icon],"")</f>
        <v/>
      </c>
      <c r="N106" s="5" t="str">
        <f t="array" ref="N106">XLOOKUP(M106,Skills[Action],Skills[Icon],"")</f>
        <v/>
      </c>
      <c r="P106" s="5" t="str">
        <f t="array" ref="P106">XLOOKUP(O106,Skills[Action],Skills[Icon],"")</f>
        <v/>
      </c>
      <c r="R106" s="5" t="str">
        <f t="array" ref="R106">XLOOKUP(Q106,Skills[Action],Skills[Icon],"")</f>
        <v/>
      </c>
      <c r="T106" s="5" t="str">
        <f t="array" ref="T106">XLOOKUP(S106,Skills[Action],Skills[Icon],"")</f>
        <v/>
      </c>
      <c r="V106" s="5" t="str">
        <f t="array" ref="V106">XLOOKUP(U106,Skills[Action],Skills[Icon],"")</f>
        <v/>
      </c>
    </row>
    <row r="107">
      <c r="C107" s="7">
        <v>0.0012152777777777778</v>
      </c>
      <c r="L107" s="5" t="str">
        <f t="array" ref="L107">XLOOKUP(K107,Skills[Action],Skills[Icon],"")</f>
        <v/>
      </c>
      <c r="N107" s="5" t="str">
        <f t="array" ref="N107">XLOOKUP(M107,Skills[Action],Skills[Icon],"")</f>
        <v/>
      </c>
      <c r="P107" s="5" t="str">
        <f t="array" ref="P107">XLOOKUP(O107,Skills[Action],Skills[Icon],"")</f>
        <v/>
      </c>
      <c r="R107" s="5" t="str">
        <f t="array" ref="R107">XLOOKUP(Q107,Skills[Action],Skills[Icon],"")</f>
        <v/>
      </c>
      <c r="T107" s="5" t="str">
        <f t="array" ref="T107">XLOOKUP(S107,Skills[Action],Skills[Icon],"")</f>
        <v/>
      </c>
      <c r="V107" s="5" t="str">
        <f t="array" ref="V107">XLOOKUP(U107,Skills[Action],Skills[Icon],"")</f>
        <v/>
      </c>
    </row>
    <row r="108">
      <c r="C108" s="7">
        <v>0.0012268518518518518</v>
      </c>
      <c r="L108" s="5" t="str">
        <f t="array" ref="L108">XLOOKUP(K108,Skills[Action],Skills[Icon],"")</f>
        <v/>
      </c>
      <c r="N108" s="5" t="str">
        <f t="array" ref="N108">XLOOKUP(M108,Skills[Action],Skills[Icon],"")</f>
        <v/>
      </c>
      <c r="P108" s="5" t="str">
        <f t="array" ref="P108">XLOOKUP(O108,Skills[Action],Skills[Icon],"")</f>
        <v/>
      </c>
      <c r="R108" s="5" t="str">
        <f t="array" ref="R108">XLOOKUP(Q108,Skills[Action],Skills[Icon],"")</f>
        <v/>
      </c>
      <c r="T108" s="5" t="str">
        <f t="array" ref="T108">XLOOKUP(S108,Skills[Action],Skills[Icon],"")</f>
        <v/>
      </c>
      <c r="V108" s="5" t="str">
        <f t="array" ref="V108">XLOOKUP(U108,Skills[Action],Skills[Icon],"")</f>
        <v/>
      </c>
    </row>
    <row r="109">
      <c r="C109" s="7">
        <v>0.001238425925925926</v>
      </c>
      <c r="L109" s="5" t="str">
        <f t="array" ref="L109">XLOOKUP(K109,Skills[Action],Skills[Icon],"")</f>
        <v/>
      </c>
      <c r="N109" s="5" t="str">
        <f t="array" ref="N109">XLOOKUP(M109,Skills[Action],Skills[Icon],"")</f>
        <v/>
      </c>
      <c r="P109" s="5" t="str">
        <f t="array" ref="P109">XLOOKUP(O109,Skills[Action],Skills[Icon],"")</f>
        <v/>
      </c>
      <c r="R109" s="5" t="str">
        <f t="array" ref="R109">XLOOKUP(Q109,Skills[Action],Skills[Icon],"")</f>
        <v/>
      </c>
      <c r="T109" s="5" t="str">
        <f t="array" ref="T109">XLOOKUP(S109,Skills[Action],Skills[Icon],"")</f>
        <v/>
      </c>
      <c r="V109" s="5" t="str">
        <f t="array" ref="V109">XLOOKUP(U109,Skills[Action],Skills[Icon],"")</f>
        <v/>
      </c>
    </row>
    <row r="110">
      <c r="C110" s="7">
        <v>0.00125</v>
      </c>
      <c r="L110" s="5" t="str">
        <f t="array" ref="L110">XLOOKUP(K110,Skills[Action],Skills[Icon],"")</f>
        <v/>
      </c>
      <c r="N110" s="5" t="str">
        <f t="array" ref="N110">XLOOKUP(M110,Skills[Action],Skills[Icon],"")</f>
        <v/>
      </c>
      <c r="P110" s="5" t="str">
        <f t="array" ref="P110">XLOOKUP(O110,Skills[Action],Skills[Icon],"")</f>
        <v/>
      </c>
      <c r="R110" s="5" t="str">
        <f t="array" ref="R110">XLOOKUP(Q110,Skills[Action],Skills[Icon],"")</f>
        <v/>
      </c>
      <c r="T110" s="5" t="str">
        <f t="array" ref="T110">XLOOKUP(S110,Skills[Action],Skills[Icon],"")</f>
        <v/>
      </c>
      <c r="V110" s="5" t="str">
        <f t="array" ref="V110">XLOOKUP(U110,Skills[Action],Skills[Icon],"")</f>
        <v/>
      </c>
    </row>
    <row r="111">
      <c r="C111" s="7">
        <v>0.001261574074074074</v>
      </c>
      <c r="L111" s="5" t="str">
        <f t="array" ref="L111">XLOOKUP(K111,Skills[Action],Skills[Icon],"")</f>
        <v/>
      </c>
      <c r="N111" s="5" t="str">
        <f t="array" ref="N111">XLOOKUP(M111,Skills[Action],Skills[Icon],"")</f>
        <v/>
      </c>
      <c r="P111" s="5" t="str">
        <f t="array" ref="P111">XLOOKUP(O111,Skills[Action],Skills[Icon],"")</f>
        <v/>
      </c>
      <c r="R111" s="5" t="str">
        <f t="array" ref="R111">XLOOKUP(Q111,Skills[Action],Skills[Icon],"")</f>
        <v/>
      </c>
      <c r="T111" s="5" t="str">
        <f t="array" ref="T111">XLOOKUP(S111,Skills[Action],Skills[Icon],"")</f>
        <v/>
      </c>
      <c r="V111" s="5" t="str">
        <f t="array" ref="V111">XLOOKUP(U111,Skills[Action],Skills[Icon],"")</f>
        <v/>
      </c>
    </row>
    <row r="112">
      <c r="C112" s="7">
        <v>0.0012731481481481483</v>
      </c>
      <c r="L112" s="5" t="str">
        <f t="array" ref="L112">XLOOKUP(K112,Skills[Action],Skills[Icon],"")</f>
        <v/>
      </c>
      <c r="N112" s="5" t="str">
        <f t="array" ref="N112">XLOOKUP(M112,Skills[Action],Skills[Icon],"")</f>
        <v/>
      </c>
      <c r="P112" s="5" t="str">
        <f t="array" ref="P112">XLOOKUP(O112,Skills[Action],Skills[Icon],"")</f>
        <v/>
      </c>
      <c r="R112" s="5" t="str">
        <f t="array" ref="R112">XLOOKUP(Q112,Skills[Action],Skills[Icon],"")</f>
        <v/>
      </c>
      <c r="T112" s="5" t="str">
        <f t="array" ref="T112">XLOOKUP(S112,Skills[Action],Skills[Icon],"")</f>
        <v/>
      </c>
      <c r="V112" s="5" t="str">
        <f t="array" ref="V112">XLOOKUP(U112,Skills[Action],Skills[Icon],"")</f>
        <v/>
      </c>
    </row>
    <row r="113">
      <c r="C113" s="7">
        <v>0.0012847222222222223</v>
      </c>
      <c r="L113" s="5" t="str">
        <f t="array" ref="L113">XLOOKUP(K113,Skills[Action],Skills[Icon],"")</f>
        <v/>
      </c>
      <c r="N113" s="5" t="str">
        <f t="array" ref="N113">XLOOKUP(M113,Skills[Action],Skills[Icon],"")</f>
        <v/>
      </c>
      <c r="P113" s="5" t="str">
        <f t="array" ref="P113">XLOOKUP(O113,Skills[Action],Skills[Icon],"")</f>
        <v/>
      </c>
      <c r="R113" s="5" t="str">
        <f t="array" ref="R113">XLOOKUP(Q113,Skills[Action],Skills[Icon],"")</f>
        <v/>
      </c>
      <c r="T113" s="5" t="str">
        <f t="array" ref="T113">XLOOKUP(S113,Skills[Action],Skills[Icon],"")</f>
        <v/>
      </c>
      <c r="V113" s="5" t="str">
        <f t="array" ref="V113">XLOOKUP(U113,Skills[Action],Skills[Icon],"")</f>
        <v/>
      </c>
    </row>
    <row r="114">
      <c r="C114" s="7">
        <v>0.0012962962962962963</v>
      </c>
      <c r="L114" s="5" t="str">
        <f t="array" ref="L114">XLOOKUP(K114,Skills[Action],Skills[Icon],"")</f>
        <v/>
      </c>
      <c r="N114" s="5" t="str">
        <f t="array" ref="N114">XLOOKUP(M114,Skills[Action],Skills[Icon],"")</f>
        <v/>
      </c>
      <c r="P114" s="5" t="str">
        <f t="array" ref="P114">XLOOKUP(O114,Skills[Action],Skills[Icon],"")</f>
        <v/>
      </c>
      <c r="R114" s="5" t="str">
        <f t="array" ref="R114">XLOOKUP(Q114,Skills[Action],Skills[Icon],"")</f>
        <v/>
      </c>
      <c r="T114" s="5" t="str">
        <f t="array" ref="T114">XLOOKUP(S114,Skills[Action],Skills[Icon],"")</f>
        <v/>
      </c>
      <c r="V114" s="5" t="str">
        <f t="array" ref="V114">XLOOKUP(U114,Skills[Action],Skills[Icon],"")</f>
        <v/>
      </c>
    </row>
    <row r="115">
      <c r="C115" s="7">
        <v>0.0013078703703703703</v>
      </c>
      <c r="L115" s="5" t="str">
        <f t="array" ref="L115">XLOOKUP(K115,Skills[Action],Skills[Icon],"")</f>
        <v/>
      </c>
      <c r="N115" s="5" t="str">
        <f t="array" ref="N115">XLOOKUP(M115,Skills[Action],Skills[Icon],"")</f>
        <v/>
      </c>
      <c r="P115" s="5" t="str">
        <f t="array" ref="P115">XLOOKUP(O115,Skills[Action],Skills[Icon],"")</f>
        <v/>
      </c>
      <c r="R115" s="5" t="str">
        <f t="array" ref="R115">XLOOKUP(Q115,Skills[Action],Skills[Icon],"")</f>
        <v/>
      </c>
      <c r="T115" s="5" t="str">
        <f t="array" ref="T115">XLOOKUP(S115,Skills[Action],Skills[Icon],"")</f>
        <v/>
      </c>
      <c r="V115" s="5" t="str">
        <f t="array" ref="V115">XLOOKUP(U115,Skills[Action],Skills[Icon],"")</f>
        <v/>
      </c>
    </row>
    <row r="116">
      <c r="C116" s="7">
        <v>0.0013194444444444445</v>
      </c>
      <c r="L116" s="5" t="str">
        <f t="array" ref="L116">XLOOKUP(K116,Skills[Action],Skills[Icon],"")</f>
        <v/>
      </c>
      <c r="N116" s="5" t="str">
        <f t="array" ref="N116">XLOOKUP(M116,Skills[Action],Skills[Icon],"")</f>
        <v/>
      </c>
      <c r="P116" s="5" t="str">
        <f t="array" ref="P116">XLOOKUP(O116,Skills[Action],Skills[Icon],"")</f>
        <v/>
      </c>
      <c r="R116" s="5" t="str">
        <f t="array" ref="R116">XLOOKUP(Q116,Skills[Action],Skills[Icon],"")</f>
        <v/>
      </c>
      <c r="T116" s="5" t="str">
        <f t="array" ref="T116">XLOOKUP(S116,Skills[Action],Skills[Icon],"")</f>
        <v/>
      </c>
      <c r="V116" s="5" t="str">
        <f t="array" ref="V116">XLOOKUP(U116,Skills[Action],Skills[Icon],"")</f>
        <v/>
      </c>
    </row>
    <row r="117">
      <c r="C117" s="7">
        <v>0.0013310185185185185</v>
      </c>
      <c r="L117" s="5" t="str">
        <f t="array" ref="L117">XLOOKUP(K117,Skills[Action],Skills[Icon],"")</f>
        <v/>
      </c>
      <c r="N117" s="5" t="str">
        <f t="array" ref="N117">XLOOKUP(M117,Skills[Action],Skills[Icon],"")</f>
        <v/>
      </c>
      <c r="P117" s="5" t="str">
        <f t="array" ref="P117">XLOOKUP(O117,Skills[Action],Skills[Icon],"")</f>
        <v/>
      </c>
      <c r="R117" s="5" t="str">
        <f t="array" ref="R117">XLOOKUP(Q117,Skills[Action],Skills[Icon],"")</f>
        <v/>
      </c>
      <c r="T117" s="5" t="str">
        <f t="array" ref="T117">XLOOKUP(S117,Skills[Action],Skills[Icon],"")</f>
        <v/>
      </c>
      <c r="V117" s="5" t="str">
        <f t="array" ref="V117">XLOOKUP(U117,Skills[Action],Skills[Icon],"")</f>
        <v/>
      </c>
    </row>
    <row r="118">
      <c r="C118" s="7">
        <v>0.0013425925925925925</v>
      </c>
      <c r="L118" s="5" t="str">
        <f t="array" ref="L118">XLOOKUP(K118,Skills[Action],Skills[Icon],"")</f>
        <v/>
      </c>
      <c r="N118" s="5" t="str">
        <f t="array" ref="N118">XLOOKUP(M118,Skills[Action],Skills[Icon],"")</f>
        <v/>
      </c>
      <c r="P118" s="5" t="str">
        <f t="array" ref="P118">XLOOKUP(O118,Skills[Action],Skills[Icon],"")</f>
        <v/>
      </c>
      <c r="R118" s="5" t="str">
        <f t="array" ref="R118">XLOOKUP(Q118,Skills[Action],Skills[Icon],"")</f>
        <v/>
      </c>
      <c r="T118" s="5" t="str">
        <f t="array" ref="T118">XLOOKUP(S118,Skills[Action],Skills[Icon],"")</f>
        <v/>
      </c>
      <c r="V118" s="5" t="str">
        <f t="array" ref="V118">XLOOKUP(U118,Skills[Action],Skills[Icon],"")</f>
        <v/>
      </c>
    </row>
    <row r="119">
      <c r="C119" s="7">
        <v>0.0013541666666666667</v>
      </c>
      <c r="L119" s="5" t="str">
        <f t="array" ref="L119">XLOOKUP(K119,Skills[Action],Skills[Icon],"")</f>
        <v/>
      </c>
      <c r="N119" s="5" t="str">
        <f t="array" ref="N119">XLOOKUP(M119,Skills[Action],Skills[Icon],"")</f>
        <v/>
      </c>
      <c r="P119" s="5" t="str">
        <f t="array" ref="P119">XLOOKUP(O119,Skills[Action],Skills[Icon],"")</f>
        <v/>
      </c>
      <c r="R119" s="5" t="str">
        <f t="array" ref="R119">XLOOKUP(Q119,Skills[Action],Skills[Icon],"")</f>
        <v/>
      </c>
      <c r="T119" s="5" t="str">
        <f t="array" ref="T119">XLOOKUP(S119,Skills[Action],Skills[Icon],"")</f>
        <v/>
      </c>
      <c r="V119" s="5" t="str">
        <f t="array" ref="V119">XLOOKUP(U119,Skills[Action],Skills[Icon],"")</f>
        <v/>
      </c>
    </row>
    <row r="120">
      <c r="C120" s="7">
        <v>0.0013657407407407407</v>
      </c>
      <c r="L120" s="5" t="str">
        <f t="array" ref="L120">XLOOKUP(K120,Skills[Action],Skills[Icon],"")</f>
        <v/>
      </c>
      <c r="N120" s="5" t="str">
        <f t="array" ref="N120">XLOOKUP(M120,Skills[Action],Skills[Icon],"")</f>
        <v/>
      </c>
      <c r="P120" s="5" t="str">
        <f t="array" ref="P120">XLOOKUP(O120,Skills[Action],Skills[Icon],"")</f>
        <v/>
      </c>
      <c r="R120" s="5" t="str">
        <f t="array" ref="R120">XLOOKUP(Q120,Skills[Action],Skills[Icon],"")</f>
        <v/>
      </c>
      <c r="T120" s="5" t="str">
        <f t="array" ref="T120">XLOOKUP(S120,Skills[Action],Skills[Icon],"")</f>
        <v/>
      </c>
      <c r="V120" s="5" t="str">
        <f t="array" ref="V120">XLOOKUP(U120,Skills[Action],Skills[Icon],"")</f>
        <v/>
      </c>
    </row>
    <row r="121">
      <c r="C121" s="7">
        <v>0.0013773148148148147</v>
      </c>
      <c r="L121" s="5" t="str">
        <f t="array" ref="L121">XLOOKUP(K121,Skills[Action],Skills[Icon],"")</f>
        <v/>
      </c>
      <c r="N121" s="5" t="str">
        <f t="array" ref="N121">XLOOKUP(M121,Skills[Action],Skills[Icon],"")</f>
        <v/>
      </c>
      <c r="P121" s="5" t="str">
        <f t="array" ref="P121">XLOOKUP(O121,Skills[Action],Skills[Icon],"")</f>
        <v/>
      </c>
      <c r="R121" s="5" t="str">
        <f t="array" ref="R121">XLOOKUP(Q121,Skills[Action],Skills[Icon],"")</f>
        <v/>
      </c>
      <c r="T121" s="5" t="str">
        <f t="array" ref="T121">XLOOKUP(S121,Skills[Action],Skills[Icon],"")</f>
        <v/>
      </c>
      <c r="V121" s="5" t="str">
        <f t="array" ref="V121">XLOOKUP(U121,Skills[Action],Skills[Icon],"")</f>
        <v/>
      </c>
    </row>
    <row r="122">
      <c r="C122" s="7">
        <v>0.001388888888888889</v>
      </c>
      <c r="L122" s="5" t="str">
        <f t="array" ref="L122">XLOOKUP(K122,Skills[Action],Skills[Icon],"")</f>
        <v/>
      </c>
      <c r="N122" s="5" t="str">
        <f t="array" ref="N122">XLOOKUP(M122,Skills[Action],Skills[Icon],"")</f>
        <v/>
      </c>
      <c r="P122" s="5" t="str">
        <f t="array" ref="P122">XLOOKUP(O122,Skills[Action],Skills[Icon],"")</f>
        <v/>
      </c>
      <c r="R122" s="5" t="str">
        <f t="array" ref="R122">XLOOKUP(Q122,Skills[Action],Skills[Icon],"")</f>
        <v/>
      </c>
      <c r="T122" s="5" t="str">
        <f t="array" ref="T122">XLOOKUP(S122,Skills[Action],Skills[Icon],"")</f>
        <v/>
      </c>
      <c r="V122" s="5" t="str">
        <f t="array" ref="V122">XLOOKUP(U122,Skills[Action],Skills[Icon],"")</f>
        <v/>
      </c>
    </row>
    <row r="123">
      <c r="C123" s="7">
        <v>0.001400462962962963</v>
      </c>
      <c r="L123" s="5" t="str">
        <f t="array" ref="L123">XLOOKUP(K123,Skills[Action],Skills[Icon],"")</f>
        <v/>
      </c>
      <c r="N123" s="5" t="str">
        <f t="array" ref="N123">XLOOKUP(M123,Skills[Action],Skills[Icon],"")</f>
        <v/>
      </c>
      <c r="P123" s="5" t="str">
        <f t="array" ref="P123">XLOOKUP(O123,Skills[Action],Skills[Icon],"")</f>
        <v/>
      </c>
      <c r="R123" s="5" t="str">
        <f t="array" ref="R123">XLOOKUP(Q123,Skills[Action],Skills[Icon],"")</f>
        <v/>
      </c>
      <c r="T123" s="5" t="str">
        <f t="array" ref="T123">XLOOKUP(S123,Skills[Action],Skills[Icon],"")</f>
        <v/>
      </c>
      <c r="V123" s="5" t="str">
        <f t="array" ref="V123">XLOOKUP(U123,Skills[Action],Skills[Icon],"")</f>
        <v/>
      </c>
    </row>
    <row r="124">
      <c r="C124" s="7">
        <v>0.001412037037037037</v>
      </c>
      <c r="L124" s="5" t="str">
        <f t="array" ref="L124">XLOOKUP(K124,Skills[Action],Skills[Icon],"")</f>
        <v/>
      </c>
      <c r="N124" s="5" t="str">
        <f t="array" ref="N124">XLOOKUP(M124,Skills[Action],Skills[Icon],"")</f>
        <v/>
      </c>
      <c r="P124" s="5" t="str">
        <f t="array" ref="P124">XLOOKUP(O124,Skills[Action],Skills[Icon],"")</f>
        <v/>
      </c>
      <c r="R124" s="5" t="str">
        <f t="array" ref="R124">XLOOKUP(Q124,Skills[Action],Skills[Icon],"")</f>
        <v/>
      </c>
      <c r="T124" s="5" t="str">
        <f t="array" ref="T124">XLOOKUP(S124,Skills[Action],Skills[Icon],"")</f>
        <v/>
      </c>
      <c r="V124" s="5" t="str">
        <f t="array" ref="V124">XLOOKUP(U124,Skills[Action],Skills[Icon],"")</f>
        <v/>
      </c>
    </row>
    <row r="125">
      <c r="C125" s="7">
        <v>0.0014236111111111112</v>
      </c>
      <c r="L125" s="5" t="str">
        <f t="array" ref="L125">XLOOKUP(K125,Skills[Action],Skills[Icon],"")</f>
        <v/>
      </c>
      <c r="N125" s="5" t="str">
        <f t="array" ref="N125">XLOOKUP(M125,Skills[Action],Skills[Icon],"")</f>
        <v/>
      </c>
      <c r="P125" s="5" t="str">
        <f t="array" ref="P125">XLOOKUP(O125,Skills[Action],Skills[Icon],"")</f>
        <v/>
      </c>
      <c r="R125" s="5" t="str">
        <f t="array" ref="R125">XLOOKUP(Q125,Skills[Action],Skills[Icon],"")</f>
        <v/>
      </c>
      <c r="T125" s="5" t="str">
        <f t="array" ref="T125">XLOOKUP(S125,Skills[Action],Skills[Icon],"")</f>
        <v/>
      </c>
      <c r="V125" s="5" t="str">
        <f t="array" ref="V125">XLOOKUP(U125,Skills[Action],Skills[Icon],"")</f>
        <v/>
      </c>
    </row>
    <row r="126">
      <c r="C126" s="7">
        <v>0.0014351851851851852</v>
      </c>
      <c r="L126" s="5" t="str">
        <f t="array" ref="L126">XLOOKUP(K126,Skills[Action],Skills[Icon],"")</f>
        <v/>
      </c>
      <c r="N126" s="5" t="str">
        <f t="array" ref="N126">XLOOKUP(M126,Skills[Action],Skills[Icon],"")</f>
        <v/>
      </c>
      <c r="P126" s="5" t="str">
        <f t="array" ref="P126">XLOOKUP(O126,Skills[Action],Skills[Icon],"")</f>
        <v/>
      </c>
      <c r="R126" s="5" t="str">
        <f t="array" ref="R126">XLOOKUP(Q126,Skills[Action],Skills[Icon],"")</f>
        <v/>
      </c>
      <c r="T126" s="5" t="str">
        <f t="array" ref="T126">XLOOKUP(S126,Skills[Action],Skills[Icon],"")</f>
        <v/>
      </c>
      <c r="V126" s="5" t="str">
        <f t="array" ref="V126">XLOOKUP(U126,Skills[Action],Skills[Icon],"")</f>
        <v/>
      </c>
    </row>
    <row r="127">
      <c r="C127" s="7">
        <v>0.0014467592592592592</v>
      </c>
      <c r="L127" s="5" t="str">
        <f t="array" ref="L127">XLOOKUP(K127,Skills[Action],Skills[Icon],"")</f>
        <v/>
      </c>
      <c r="N127" s="5" t="str">
        <f t="array" ref="N127">XLOOKUP(M127,Skills[Action],Skills[Icon],"")</f>
        <v/>
      </c>
      <c r="P127" s="5" t="str">
        <f t="array" ref="P127">XLOOKUP(O127,Skills[Action],Skills[Icon],"")</f>
        <v/>
      </c>
      <c r="R127" s="5" t="str">
        <f t="array" ref="R127">XLOOKUP(Q127,Skills[Action],Skills[Icon],"")</f>
        <v/>
      </c>
      <c r="T127" s="5" t="str">
        <f t="array" ref="T127">XLOOKUP(S127,Skills[Action],Skills[Icon],"")</f>
        <v/>
      </c>
      <c r="V127" s="5" t="str">
        <f t="array" ref="V127">XLOOKUP(U127,Skills[Action],Skills[Icon],"")</f>
        <v/>
      </c>
    </row>
    <row r="128">
      <c r="C128" s="7">
        <v>0.0014583333333333334</v>
      </c>
      <c r="L128" s="5" t="str">
        <f t="array" ref="L128">XLOOKUP(K128,Skills[Action],Skills[Icon],"")</f>
        <v/>
      </c>
      <c r="N128" s="5" t="str">
        <f t="array" ref="N128">XLOOKUP(M128,Skills[Action],Skills[Icon],"")</f>
        <v/>
      </c>
      <c r="P128" s="5" t="str">
        <f t="array" ref="P128">XLOOKUP(O128,Skills[Action],Skills[Icon],"")</f>
        <v/>
      </c>
      <c r="R128" s="5" t="str">
        <f t="array" ref="R128">XLOOKUP(Q128,Skills[Action],Skills[Icon],"")</f>
        <v/>
      </c>
      <c r="T128" s="5" t="str">
        <f t="array" ref="T128">XLOOKUP(S128,Skills[Action],Skills[Icon],"")</f>
        <v/>
      </c>
      <c r="V128" s="5" t="str">
        <f t="array" ref="V128">XLOOKUP(U128,Skills[Action],Skills[Icon],"")</f>
        <v/>
      </c>
    </row>
    <row r="129">
      <c r="C129" s="7">
        <v>0.0014699074074074074</v>
      </c>
      <c r="L129" s="5" t="str">
        <f t="array" ref="L129">XLOOKUP(K129,Skills[Action],Skills[Icon],"")</f>
        <v/>
      </c>
      <c r="N129" s="5" t="str">
        <f t="array" ref="N129">XLOOKUP(M129,Skills[Action],Skills[Icon],"")</f>
        <v/>
      </c>
      <c r="P129" s="5" t="str">
        <f t="array" ref="P129">XLOOKUP(O129,Skills[Action],Skills[Icon],"")</f>
        <v/>
      </c>
      <c r="R129" s="5" t="str">
        <f t="array" ref="R129">XLOOKUP(Q129,Skills[Action],Skills[Icon],"")</f>
        <v/>
      </c>
      <c r="T129" s="5" t="str">
        <f t="array" ref="T129">XLOOKUP(S129,Skills[Action],Skills[Icon],"")</f>
        <v/>
      </c>
      <c r="V129" s="5" t="str">
        <f t="array" ref="V129">XLOOKUP(U129,Skills[Action],Skills[Icon],"")</f>
        <v/>
      </c>
    </row>
    <row r="130">
      <c r="C130" s="7">
        <v>0.0014814814814814814</v>
      </c>
      <c r="L130" s="5" t="str">
        <f t="array" ref="L130">XLOOKUP(K130,Skills[Action],Skills[Icon],"")</f>
        <v/>
      </c>
      <c r="N130" s="5" t="str">
        <f t="array" ref="N130">XLOOKUP(M130,Skills[Action],Skills[Icon],"")</f>
        <v/>
      </c>
      <c r="P130" s="5" t="str">
        <f t="array" ref="P130">XLOOKUP(O130,Skills[Action],Skills[Icon],"")</f>
        <v/>
      </c>
      <c r="R130" s="5" t="str">
        <f t="array" ref="R130">XLOOKUP(Q130,Skills[Action],Skills[Icon],"")</f>
        <v/>
      </c>
      <c r="T130" s="5" t="str">
        <f t="array" ref="T130">XLOOKUP(S130,Skills[Action],Skills[Icon],"")</f>
        <v/>
      </c>
      <c r="V130" s="5" t="str">
        <f t="array" ref="V130">XLOOKUP(U130,Skills[Action],Skills[Icon],"")</f>
        <v/>
      </c>
    </row>
    <row r="131">
      <c r="C131" s="7">
        <v>0.0014930555555555556</v>
      </c>
      <c r="L131" s="5" t="str">
        <f t="array" ref="L131">XLOOKUP(K131,Skills[Action],Skills[Icon],"")</f>
        <v/>
      </c>
      <c r="N131" s="5" t="str">
        <f t="array" ref="N131">XLOOKUP(M131,Skills[Action],Skills[Icon],"")</f>
        <v/>
      </c>
      <c r="P131" s="5" t="str">
        <f t="array" ref="P131">XLOOKUP(O131,Skills[Action],Skills[Icon],"")</f>
        <v/>
      </c>
      <c r="R131" s="5" t="str">
        <f t="array" ref="R131">XLOOKUP(Q131,Skills[Action],Skills[Icon],"")</f>
        <v/>
      </c>
      <c r="T131" s="5" t="str">
        <f t="array" ref="T131">XLOOKUP(S131,Skills[Action],Skills[Icon],"")</f>
        <v/>
      </c>
      <c r="V131" s="5" t="str">
        <f t="array" ref="V131">XLOOKUP(U131,Skills[Action],Skills[Icon],"")</f>
        <v/>
      </c>
    </row>
    <row r="132">
      <c r="C132" s="7">
        <v>0.0015046296296296296</v>
      </c>
      <c r="L132" s="5" t="str">
        <f t="array" ref="L132">XLOOKUP(K132,Skills[Action],Skills[Icon],"")</f>
        <v/>
      </c>
      <c r="N132" s="5" t="str">
        <f t="array" ref="N132">XLOOKUP(M132,Skills[Action],Skills[Icon],"")</f>
        <v/>
      </c>
      <c r="P132" s="5" t="str">
        <f t="array" ref="P132">XLOOKUP(O132,Skills[Action],Skills[Icon],"")</f>
        <v/>
      </c>
      <c r="R132" s="5" t="str">
        <f t="array" ref="R132">XLOOKUP(Q132,Skills[Action],Skills[Icon],"")</f>
        <v/>
      </c>
      <c r="T132" s="5" t="str">
        <f t="array" ref="T132">XLOOKUP(S132,Skills[Action],Skills[Icon],"")</f>
        <v/>
      </c>
      <c r="V132" s="5" t="str">
        <f t="array" ref="V132">XLOOKUP(U132,Skills[Action],Skills[Icon],"")</f>
        <v/>
      </c>
    </row>
    <row r="133">
      <c r="C133" s="7">
        <v>0.0015162037037037036</v>
      </c>
      <c r="L133" s="5" t="str">
        <f t="array" ref="L133">XLOOKUP(K133,Skills[Action],Skills[Icon],"")</f>
        <v/>
      </c>
      <c r="N133" s="5" t="str">
        <f t="array" ref="N133">XLOOKUP(M133,Skills[Action],Skills[Icon],"")</f>
        <v/>
      </c>
      <c r="P133" s="5" t="str">
        <f t="array" ref="P133">XLOOKUP(O133,Skills[Action],Skills[Icon],"")</f>
        <v/>
      </c>
      <c r="R133" s="5" t="str">
        <f t="array" ref="R133">XLOOKUP(Q133,Skills[Action],Skills[Icon],"")</f>
        <v/>
      </c>
      <c r="T133" s="5" t="str">
        <f t="array" ref="T133">XLOOKUP(S133,Skills[Action],Skills[Icon],"")</f>
        <v/>
      </c>
      <c r="V133" s="5" t="str">
        <f t="array" ref="V133">XLOOKUP(U133,Skills[Action],Skills[Icon],"")</f>
        <v/>
      </c>
    </row>
    <row r="134">
      <c r="C134" s="7">
        <v>0.0015277777777777779</v>
      </c>
      <c r="L134" s="5" t="str">
        <f t="array" ref="L134">XLOOKUP(K134,Skills[Action],Skills[Icon],"")</f>
        <v/>
      </c>
      <c r="N134" s="5" t="str">
        <f t="array" ref="N134">XLOOKUP(M134,Skills[Action],Skills[Icon],"")</f>
        <v/>
      </c>
      <c r="P134" s="5" t="str">
        <f t="array" ref="P134">XLOOKUP(O134,Skills[Action],Skills[Icon],"")</f>
        <v/>
      </c>
      <c r="R134" s="5" t="str">
        <f t="array" ref="R134">XLOOKUP(Q134,Skills[Action],Skills[Icon],"")</f>
        <v/>
      </c>
      <c r="T134" s="5" t="str">
        <f t="array" ref="T134">XLOOKUP(S134,Skills[Action],Skills[Icon],"")</f>
        <v/>
      </c>
      <c r="V134" s="5" t="str">
        <f t="array" ref="V134">XLOOKUP(U134,Skills[Action],Skills[Icon],"")</f>
        <v/>
      </c>
    </row>
    <row r="135">
      <c r="C135" s="7">
        <v>0.0015393518518518519</v>
      </c>
      <c r="L135" s="5" t="str">
        <f t="array" ref="L135">XLOOKUP(K135,Skills[Action],Skills[Icon],"")</f>
        <v/>
      </c>
      <c r="N135" s="5" t="str">
        <f t="array" ref="N135">XLOOKUP(M135,Skills[Action],Skills[Icon],"")</f>
        <v/>
      </c>
      <c r="P135" s="5" t="str">
        <f t="array" ref="P135">XLOOKUP(O135,Skills[Action],Skills[Icon],"")</f>
        <v/>
      </c>
      <c r="R135" s="5" t="str">
        <f t="array" ref="R135">XLOOKUP(Q135,Skills[Action],Skills[Icon],"")</f>
        <v/>
      </c>
      <c r="T135" s="5" t="str">
        <f t="array" ref="T135">XLOOKUP(S135,Skills[Action],Skills[Icon],"")</f>
        <v/>
      </c>
      <c r="V135" s="5" t="str">
        <f t="array" ref="V135">XLOOKUP(U135,Skills[Action],Skills[Icon],"")</f>
        <v/>
      </c>
    </row>
    <row r="136">
      <c r="C136" s="7">
        <v>0.0015509259259259259</v>
      </c>
      <c r="L136" s="5" t="str">
        <f t="array" ref="L136">XLOOKUP(K136,Skills[Action],Skills[Icon],"")</f>
        <v/>
      </c>
      <c r="N136" s="5" t="str">
        <f t="array" ref="N136">XLOOKUP(M136,Skills[Action],Skills[Icon],"")</f>
        <v/>
      </c>
      <c r="P136" s="5" t="str">
        <f t="array" ref="P136">XLOOKUP(O136,Skills[Action],Skills[Icon],"")</f>
        <v/>
      </c>
      <c r="R136" s="5" t="str">
        <f t="array" ref="R136">XLOOKUP(Q136,Skills[Action],Skills[Icon],"")</f>
        <v/>
      </c>
      <c r="T136" s="5" t="str">
        <f t="array" ref="T136">XLOOKUP(S136,Skills[Action],Skills[Icon],"")</f>
        <v/>
      </c>
      <c r="V136" s="5" t="str">
        <f t="array" ref="V136">XLOOKUP(U136,Skills[Action],Skills[Icon],"")</f>
        <v/>
      </c>
    </row>
    <row r="137">
      <c r="C137" s="7">
        <v>0.0015625</v>
      </c>
      <c r="L137" s="5" t="str">
        <f t="array" ref="L137">XLOOKUP(K137,Skills[Action],Skills[Icon],"")</f>
        <v/>
      </c>
      <c r="N137" s="5" t="str">
        <f t="array" ref="N137">XLOOKUP(M137,Skills[Action],Skills[Icon],"")</f>
        <v/>
      </c>
      <c r="P137" s="5" t="str">
        <f t="array" ref="P137">XLOOKUP(O137,Skills[Action],Skills[Icon],"")</f>
        <v/>
      </c>
      <c r="R137" s="5" t="str">
        <f t="array" ref="R137">XLOOKUP(Q137,Skills[Action],Skills[Icon],"")</f>
        <v/>
      </c>
      <c r="T137" s="5" t="str">
        <f t="array" ref="T137">XLOOKUP(S137,Skills[Action],Skills[Icon],"")</f>
        <v/>
      </c>
      <c r="V137" s="5" t="str">
        <f t="array" ref="V137">XLOOKUP(U137,Skills[Action],Skills[Icon],"")</f>
        <v/>
      </c>
    </row>
    <row r="138">
      <c r="C138" s="7">
        <v>0.001574074074074074</v>
      </c>
      <c r="L138" s="5" t="str">
        <f t="array" ref="L138">XLOOKUP(K138,Skills[Action],Skills[Icon],"")</f>
        <v/>
      </c>
      <c r="N138" s="5" t="str">
        <f t="array" ref="N138">XLOOKUP(M138,Skills[Action],Skills[Icon],"")</f>
        <v/>
      </c>
      <c r="P138" s="5" t="str">
        <f t="array" ref="P138">XLOOKUP(O138,Skills[Action],Skills[Icon],"")</f>
        <v/>
      </c>
      <c r="R138" s="5" t="str">
        <f t="array" ref="R138">XLOOKUP(Q138,Skills[Action],Skills[Icon],"")</f>
        <v/>
      </c>
      <c r="T138" s="5" t="str">
        <f t="array" ref="T138">XLOOKUP(S138,Skills[Action],Skills[Icon],"")</f>
        <v/>
      </c>
      <c r="V138" s="5" t="str">
        <f t="array" ref="V138">XLOOKUP(U138,Skills[Action],Skills[Icon],"")</f>
        <v/>
      </c>
    </row>
    <row r="139">
      <c r="C139" s="7">
        <v>0.001585648148148148</v>
      </c>
      <c r="L139" s="5" t="str">
        <f t="array" ref="L139">XLOOKUP(K139,Skills[Action],Skills[Icon],"")</f>
        <v/>
      </c>
      <c r="N139" s="5" t="str">
        <f t="array" ref="N139">XLOOKUP(M139,Skills[Action],Skills[Icon],"")</f>
        <v/>
      </c>
      <c r="P139" s="5" t="str">
        <f t="array" ref="P139">XLOOKUP(O139,Skills[Action],Skills[Icon],"")</f>
        <v/>
      </c>
      <c r="R139" s="5" t="str">
        <f t="array" ref="R139">XLOOKUP(Q139,Skills[Action],Skills[Icon],"")</f>
        <v/>
      </c>
      <c r="T139" s="5" t="str">
        <f t="array" ref="T139">XLOOKUP(S139,Skills[Action],Skills[Icon],"")</f>
        <v/>
      </c>
      <c r="V139" s="5" t="str">
        <f t="array" ref="V139">XLOOKUP(U139,Skills[Action],Skills[Icon],"")</f>
        <v/>
      </c>
    </row>
    <row r="140">
      <c r="C140" s="7">
        <v>0.0015972222222222223</v>
      </c>
      <c r="L140" s="5" t="str">
        <f t="array" ref="L140">XLOOKUP(K140,Skills[Action],Skills[Icon],"")</f>
        <v/>
      </c>
      <c r="N140" s="5" t="str">
        <f t="array" ref="N140">XLOOKUP(M140,Skills[Action],Skills[Icon],"")</f>
        <v/>
      </c>
      <c r="P140" s="5" t="str">
        <f t="array" ref="P140">XLOOKUP(O140,Skills[Action],Skills[Icon],"")</f>
        <v/>
      </c>
      <c r="R140" s="5" t="str">
        <f t="array" ref="R140">XLOOKUP(Q140,Skills[Action],Skills[Icon],"")</f>
        <v/>
      </c>
      <c r="T140" s="5" t="str">
        <f t="array" ref="T140">XLOOKUP(S140,Skills[Action],Skills[Icon],"")</f>
        <v/>
      </c>
      <c r="V140" s="5" t="str">
        <f t="array" ref="V140">XLOOKUP(U140,Skills[Action],Skills[Icon],"")</f>
        <v/>
      </c>
    </row>
    <row r="141">
      <c r="C141" s="7">
        <v>0.0016087962962962963</v>
      </c>
      <c r="L141" s="5" t="str">
        <f t="array" ref="L141">XLOOKUP(K141,Skills[Action],Skills[Icon],"")</f>
        <v/>
      </c>
      <c r="N141" s="5" t="str">
        <f t="array" ref="N141">XLOOKUP(M141,Skills[Action],Skills[Icon],"")</f>
        <v/>
      </c>
      <c r="P141" s="5" t="str">
        <f t="array" ref="P141">XLOOKUP(O141,Skills[Action],Skills[Icon],"")</f>
        <v/>
      </c>
      <c r="R141" s="5" t="str">
        <f t="array" ref="R141">XLOOKUP(Q141,Skills[Action],Skills[Icon],"")</f>
        <v/>
      </c>
      <c r="T141" s="5" t="str">
        <f t="array" ref="T141">XLOOKUP(S141,Skills[Action],Skills[Icon],"")</f>
        <v/>
      </c>
      <c r="V141" s="5" t="str">
        <f t="array" ref="V141">XLOOKUP(U141,Skills[Action],Skills[Icon],"")</f>
        <v/>
      </c>
    </row>
    <row r="142">
      <c r="C142" s="7">
        <v>0.0016203703703703703</v>
      </c>
      <c r="L142" s="5" t="str">
        <f t="array" ref="L142">XLOOKUP(K142,Skills[Action],Skills[Icon],"")</f>
        <v/>
      </c>
      <c r="N142" s="5" t="str">
        <f t="array" ref="N142">XLOOKUP(M142,Skills[Action],Skills[Icon],"")</f>
        <v/>
      </c>
      <c r="P142" s="5" t="str">
        <f t="array" ref="P142">XLOOKUP(O142,Skills[Action],Skills[Icon],"")</f>
        <v/>
      </c>
      <c r="R142" s="5" t="str">
        <f t="array" ref="R142">XLOOKUP(Q142,Skills[Action],Skills[Icon],"")</f>
        <v/>
      </c>
      <c r="T142" s="5" t="str">
        <f t="array" ref="T142">XLOOKUP(S142,Skills[Action],Skills[Icon],"")</f>
        <v/>
      </c>
      <c r="V142" s="5" t="str">
        <f t="array" ref="V142">XLOOKUP(U142,Skills[Action],Skills[Icon],"")</f>
        <v/>
      </c>
    </row>
    <row r="143">
      <c r="C143" s="7">
        <v>0.0016319444444444445</v>
      </c>
      <c r="L143" s="5" t="str">
        <f t="array" ref="L143">XLOOKUP(K143,Skills[Action],Skills[Icon],"")</f>
        <v/>
      </c>
      <c r="N143" s="5" t="str">
        <f t="array" ref="N143">XLOOKUP(M143,Skills[Action],Skills[Icon],"")</f>
        <v/>
      </c>
      <c r="P143" s="5" t="str">
        <f t="array" ref="P143">XLOOKUP(O143,Skills[Action],Skills[Icon],"")</f>
        <v/>
      </c>
      <c r="R143" s="5" t="str">
        <f t="array" ref="R143">XLOOKUP(Q143,Skills[Action],Skills[Icon],"")</f>
        <v/>
      </c>
      <c r="T143" s="5" t="str">
        <f t="array" ref="T143">XLOOKUP(S143,Skills[Action],Skills[Icon],"")</f>
        <v/>
      </c>
      <c r="V143" s="5" t="str">
        <f t="array" ref="V143">XLOOKUP(U143,Skills[Action],Skills[Icon],"")</f>
        <v/>
      </c>
    </row>
    <row r="144">
      <c r="C144" s="7">
        <v>0.0016435185185185185</v>
      </c>
      <c r="L144" s="5" t="str">
        <f t="array" ref="L144">XLOOKUP(K144,Skills[Action],Skills[Icon],"")</f>
        <v/>
      </c>
      <c r="N144" s="5" t="str">
        <f t="array" ref="N144">XLOOKUP(M144,Skills[Action],Skills[Icon],"")</f>
        <v/>
      </c>
      <c r="P144" s="5" t="str">
        <f t="array" ref="P144">XLOOKUP(O144,Skills[Action],Skills[Icon],"")</f>
        <v/>
      </c>
      <c r="R144" s="5" t="str">
        <f t="array" ref="R144">XLOOKUP(Q144,Skills[Action],Skills[Icon],"")</f>
        <v/>
      </c>
      <c r="T144" s="5" t="str">
        <f t="array" ref="T144">XLOOKUP(S144,Skills[Action],Skills[Icon],"")</f>
        <v/>
      </c>
      <c r="V144" s="5" t="str">
        <f t="array" ref="V144">XLOOKUP(U144,Skills[Action],Skills[Icon],"")</f>
        <v/>
      </c>
    </row>
    <row r="145">
      <c r="C145" s="7">
        <v>0.0016550925925925926</v>
      </c>
      <c r="L145" s="5" t="str">
        <f t="array" ref="L145">XLOOKUP(K145,Skills[Action],Skills[Icon],"")</f>
        <v/>
      </c>
      <c r="N145" s="5" t="str">
        <f t="array" ref="N145">XLOOKUP(M145,Skills[Action],Skills[Icon],"")</f>
        <v/>
      </c>
      <c r="P145" s="5" t="str">
        <f t="array" ref="P145">XLOOKUP(O145,Skills[Action],Skills[Icon],"")</f>
        <v/>
      </c>
      <c r="R145" s="5" t="str">
        <f t="array" ref="R145">XLOOKUP(Q145,Skills[Action],Skills[Icon],"")</f>
        <v/>
      </c>
      <c r="T145" s="5" t="str">
        <f t="array" ref="T145">XLOOKUP(S145,Skills[Action],Skills[Icon],"")</f>
        <v/>
      </c>
      <c r="V145" s="5" t="str">
        <f t="array" ref="V145">XLOOKUP(U145,Skills[Action],Skills[Icon],"")</f>
        <v/>
      </c>
    </row>
    <row r="146">
      <c r="C146" s="7">
        <v>0.0016666666666666668</v>
      </c>
      <c r="L146" s="5" t="str">
        <f t="array" ref="L146">XLOOKUP(K146,Skills[Action],Skills[Icon],"")</f>
        <v/>
      </c>
      <c r="N146" s="5" t="str">
        <f t="array" ref="N146">XLOOKUP(M146,Skills[Action],Skills[Icon],"")</f>
        <v/>
      </c>
      <c r="P146" s="5" t="str">
        <f t="array" ref="P146">XLOOKUP(O146,Skills[Action],Skills[Icon],"")</f>
        <v/>
      </c>
      <c r="R146" s="5" t="str">
        <f t="array" ref="R146">XLOOKUP(Q146,Skills[Action],Skills[Icon],"")</f>
        <v/>
      </c>
      <c r="T146" s="5" t="str">
        <f t="array" ref="T146">XLOOKUP(S146,Skills[Action],Skills[Icon],"")</f>
        <v/>
      </c>
      <c r="V146" s="5" t="str">
        <f t="array" ref="V146">XLOOKUP(U146,Skills[Action],Skills[Icon],"")</f>
        <v/>
      </c>
    </row>
    <row r="147">
      <c r="C147" s="7">
        <v>0.0016782407407407408</v>
      </c>
      <c r="L147" s="5" t="str">
        <f t="array" ref="L147">XLOOKUP(K147,Skills[Action],Skills[Icon],"")</f>
        <v/>
      </c>
      <c r="N147" s="5" t="str">
        <f t="array" ref="N147">XLOOKUP(M147,Skills[Action],Skills[Icon],"")</f>
        <v/>
      </c>
      <c r="P147" s="5" t="str">
        <f t="array" ref="P147">XLOOKUP(O147,Skills[Action],Skills[Icon],"")</f>
        <v/>
      </c>
      <c r="R147" s="5" t="str">
        <f t="array" ref="R147">XLOOKUP(Q147,Skills[Action],Skills[Icon],"")</f>
        <v/>
      </c>
      <c r="T147" s="5" t="str">
        <f t="array" ref="T147">XLOOKUP(S147,Skills[Action],Skills[Icon],"")</f>
        <v/>
      </c>
      <c r="V147" s="5" t="str">
        <f t="array" ref="V147">XLOOKUP(U147,Skills[Action],Skills[Icon],"")</f>
        <v/>
      </c>
    </row>
    <row r="148">
      <c r="C148" s="7">
        <v>0.0016898148148148148</v>
      </c>
      <c r="L148" s="5" t="str">
        <f t="array" ref="L148">XLOOKUP(K148,Skills[Action],Skills[Icon],"")</f>
        <v/>
      </c>
      <c r="N148" s="5" t="str">
        <f t="array" ref="N148">XLOOKUP(M148,Skills[Action],Skills[Icon],"")</f>
        <v/>
      </c>
      <c r="P148" s="5" t="str">
        <f t="array" ref="P148">XLOOKUP(O148,Skills[Action],Skills[Icon],"")</f>
        <v/>
      </c>
      <c r="R148" s="5" t="str">
        <f t="array" ref="R148">XLOOKUP(Q148,Skills[Action],Skills[Icon],"")</f>
        <v/>
      </c>
      <c r="T148" s="5" t="str">
        <f t="array" ref="T148">XLOOKUP(S148,Skills[Action],Skills[Icon],"")</f>
        <v/>
      </c>
      <c r="V148" s="5" t="str">
        <f t="array" ref="V148">XLOOKUP(U148,Skills[Action],Skills[Icon],"")</f>
        <v/>
      </c>
    </row>
    <row r="149">
      <c r="C149" s="7">
        <v>0.0017013888888888888</v>
      </c>
      <c r="L149" s="5" t="str">
        <f t="array" ref="L149">XLOOKUP(K149,Skills[Action],Skills[Icon],"")</f>
        <v/>
      </c>
      <c r="N149" s="5" t="str">
        <f t="array" ref="N149">XLOOKUP(M149,Skills[Action],Skills[Icon],"")</f>
        <v/>
      </c>
      <c r="P149" s="5" t="str">
        <f t="array" ref="P149">XLOOKUP(O149,Skills[Action],Skills[Icon],"")</f>
        <v/>
      </c>
      <c r="R149" s="5" t="str">
        <f t="array" ref="R149">XLOOKUP(Q149,Skills[Action],Skills[Icon],"")</f>
        <v/>
      </c>
      <c r="T149" s="5" t="str">
        <f t="array" ref="T149">XLOOKUP(S149,Skills[Action],Skills[Icon],"")</f>
        <v/>
      </c>
      <c r="V149" s="5" t="str">
        <f t="array" ref="V149">XLOOKUP(U149,Skills[Action],Skills[Icon],"")</f>
        <v/>
      </c>
    </row>
    <row r="150">
      <c r="C150" s="7">
        <v>0.001712962962962963</v>
      </c>
      <c r="L150" s="5" t="str">
        <f t="array" ref="L150">XLOOKUP(K150,Skills[Action],Skills[Icon],"")</f>
        <v/>
      </c>
      <c r="N150" s="5" t="str">
        <f t="array" ref="N150">XLOOKUP(M150,Skills[Action],Skills[Icon],"")</f>
        <v/>
      </c>
      <c r="P150" s="5" t="str">
        <f t="array" ref="P150">XLOOKUP(O150,Skills[Action],Skills[Icon],"")</f>
        <v/>
      </c>
      <c r="R150" s="5" t="str">
        <f t="array" ref="R150">XLOOKUP(Q150,Skills[Action],Skills[Icon],"")</f>
        <v/>
      </c>
      <c r="T150" s="5" t="str">
        <f t="array" ref="T150">XLOOKUP(S150,Skills[Action],Skills[Icon],"")</f>
        <v/>
      </c>
      <c r="V150" s="5" t="str">
        <f t="array" ref="V150">XLOOKUP(U150,Skills[Action],Skills[Icon],"")</f>
        <v/>
      </c>
    </row>
    <row r="151">
      <c r="C151" s="7">
        <v>0.001724537037037037</v>
      </c>
      <c r="L151" s="5" t="str">
        <f t="array" ref="L151">XLOOKUP(K151,Skills[Action],Skills[Icon],"")</f>
        <v/>
      </c>
      <c r="N151" s="5" t="str">
        <f t="array" ref="N151">XLOOKUP(M151,Skills[Action],Skills[Icon],"")</f>
        <v/>
      </c>
      <c r="P151" s="5" t="str">
        <f t="array" ref="P151">XLOOKUP(O151,Skills[Action],Skills[Icon],"")</f>
        <v/>
      </c>
      <c r="R151" s="5" t="str">
        <f t="array" ref="R151">XLOOKUP(Q151,Skills[Action],Skills[Icon],"")</f>
        <v/>
      </c>
      <c r="T151" s="5" t="str">
        <f t="array" ref="T151">XLOOKUP(S151,Skills[Action],Skills[Icon],"")</f>
        <v/>
      </c>
      <c r="V151" s="5" t="str">
        <f t="array" ref="V151">XLOOKUP(U151,Skills[Action],Skills[Icon],"")</f>
        <v/>
      </c>
    </row>
    <row r="152">
      <c r="C152" s="7">
        <v>0.001736111111111111</v>
      </c>
      <c r="L152" s="5" t="str">
        <f t="array" ref="L152">XLOOKUP(K152,Skills[Action],Skills[Icon],"")</f>
        <v/>
      </c>
      <c r="N152" s="5" t="str">
        <f t="array" ref="N152">XLOOKUP(M152,Skills[Action],Skills[Icon],"")</f>
        <v/>
      </c>
      <c r="P152" s="5" t="str">
        <f t="array" ref="P152">XLOOKUP(O152,Skills[Action],Skills[Icon],"")</f>
        <v/>
      </c>
      <c r="R152" s="5" t="str">
        <f t="array" ref="R152">XLOOKUP(Q152,Skills[Action],Skills[Icon],"")</f>
        <v/>
      </c>
      <c r="T152" s="5" t="str">
        <f t="array" ref="T152">XLOOKUP(S152,Skills[Action],Skills[Icon],"")</f>
        <v/>
      </c>
      <c r="V152" s="5" t="str">
        <f t="array" ref="V152">XLOOKUP(U152,Skills[Action],Skills[Icon],"")</f>
        <v/>
      </c>
    </row>
    <row r="153">
      <c r="C153" s="7">
        <v>0.0017476851851851852</v>
      </c>
      <c r="L153" s="5" t="str">
        <f t="array" ref="L153">XLOOKUP(K153,Skills[Action],Skills[Icon],"")</f>
        <v/>
      </c>
      <c r="N153" s="5" t="str">
        <f t="array" ref="N153">XLOOKUP(M153,Skills[Action],Skills[Icon],"")</f>
        <v/>
      </c>
      <c r="P153" s="5" t="str">
        <f t="array" ref="P153">XLOOKUP(O153,Skills[Action],Skills[Icon],"")</f>
        <v/>
      </c>
      <c r="R153" s="5" t="str">
        <f t="array" ref="R153">XLOOKUP(Q153,Skills[Action],Skills[Icon],"")</f>
        <v/>
      </c>
      <c r="T153" s="5" t="str">
        <f t="array" ref="T153">XLOOKUP(S153,Skills[Action],Skills[Icon],"")</f>
        <v/>
      </c>
      <c r="V153" s="5" t="str">
        <f t="array" ref="V153">XLOOKUP(U153,Skills[Action],Skills[Icon],"")</f>
        <v/>
      </c>
    </row>
    <row r="154">
      <c r="C154" s="7">
        <v>0.0017592592592592592</v>
      </c>
      <c r="L154" s="5" t="str">
        <f t="array" ref="L154">XLOOKUP(K154,Skills[Action],Skills[Icon],"")</f>
        <v/>
      </c>
      <c r="N154" s="5" t="str">
        <f t="array" ref="N154">XLOOKUP(M154,Skills[Action],Skills[Icon],"")</f>
        <v/>
      </c>
      <c r="P154" s="5" t="str">
        <f t="array" ref="P154">XLOOKUP(O154,Skills[Action],Skills[Icon],"")</f>
        <v/>
      </c>
      <c r="R154" s="5" t="str">
        <f t="array" ref="R154">XLOOKUP(Q154,Skills[Action],Skills[Icon],"")</f>
        <v/>
      </c>
      <c r="T154" s="5" t="str">
        <f t="array" ref="T154">XLOOKUP(S154,Skills[Action],Skills[Icon],"")</f>
        <v/>
      </c>
      <c r="V154" s="5" t="str">
        <f t="array" ref="V154">XLOOKUP(U154,Skills[Action],Skills[Icon],"")</f>
        <v/>
      </c>
    </row>
    <row r="155">
      <c r="C155" s="7">
        <v>0.0017708333333333332</v>
      </c>
      <c r="L155" s="5" t="str">
        <f t="array" ref="L155">XLOOKUP(K155,Skills[Action],Skills[Icon],"")</f>
        <v/>
      </c>
      <c r="N155" s="5" t="str">
        <f t="array" ref="N155">XLOOKUP(M155,Skills[Action],Skills[Icon],"")</f>
        <v/>
      </c>
      <c r="P155" s="5" t="str">
        <f t="array" ref="P155">XLOOKUP(O155,Skills[Action],Skills[Icon],"")</f>
        <v/>
      </c>
      <c r="R155" s="5" t="str">
        <f t="array" ref="R155">XLOOKUP(Q155,Skills[Action],Skills[Icon],"")</f>
        <v/>
      </c>
      <c r="T155" s="5" t="str">
        <f t="array" ref="T155">XLOOKUP(S155,Skills[Action],Skills[Icon],"")</f>
        <v/>
      </c>
      <c r="V155" s="5" t="str">
        <f t="array" ref="V155">XLOOKUP(U155,Skills[Action],Skills[Icon],"")</f>
        <v/>
      </c>
    </row>
    <row r="156">
      <c r="C156" s="7">
        <v>0.0017824074074074075</v>
      </c>
      <c r="L156" s="5" t="str">
        <f t="array" ref="L156">XLOOKUP(K156,Skills[Action],Skills[Icon],"")</f>
        <v/>
      </c>
      <c r="N156" s="5" t="str">
        <f t="array" ref="N156">XLOOKUP(M156,Skills[Action],Skills[Icon],"")</f>
        <v/>
      </c>
      <c r="P156" s="5" t="str">
        <f t="array" ref="P156">XLOOKUP(O156,Skills[Action],Skills[Icon],"")</f>
        <v/>
      </c>
      <c r="R156" s="5" t="str">
        <f t="array" ref="R156">XLOOKUP(Q156,Skills[Action],Skills[Icon],"")</f>
        <v/>
      </c>
      <c r="T156" s="5" t="str">
        <f t="array" ref="T156">XLOOKUP(S156,Skills[Action],Skills[Icon],"")</f>
        <v/>
      </c>
      <c r="V156" s="5" t="str">
        <f t="array" ref="V156">XLOOKUP(U156,Skills[Action],Skills[Icon],"")</f>
        <v/>
      </c>
    </row>
    <row r="157">
      <c r="C157" s="7">
        <v>0.0017939814814814815</v>
      </c>
      <c r="L157" s="5" t="str">
        <f t="array" ref="L157">XLOOKUP(K157,Skills[Action],Skills[Icon],"")</f>
        <v/>
      </c>
      <c r="N157" s="5" t="str">
        <f t="array" ref="N157">XLOOKUP(M157,Skills[Action],Skills[Icon],"")</f>
        <v/>
      </c>
      <c r="P157" s="5" t="str">
        <f t="array" ref="P157">XLOOKUP(O157,Skills[Action],Skills[Icon],"")</f>
        <v/>
      </c>
      <c r="R157" s="5" t="str">
        <f t="array" ref="R157">XLOOKUP(Q157,Skills[Action],Skills[Icon],"")</f>
        <v/>
      </c>
      <c r="T157" s="5" t="str">
        <f t="array" ref="T157">XLOOKUP(S157,Skills[Action],Skills[Icon],"")</f>
        <v/>
      </c>
      <c r="V157" s="5" t="str">
        <f t="array" ref="V157">XLOOKUP(U157,Skills[Action],Skills[Icon],"")</f>
        <v/>
      </c>
    </row>
    <row r="158">
      <c r="C158" s="7">
        <v>0.0018055555555555555</v>
      </c>
      <c r="L158" s="5" t="str">
        <f t="array" ref="L158">XLOOKUP(K158,Skills[Action],Skills[Icon],"")</f>
        <v/>
      </c>
      <c r="N158" s="5" t="str">
        <f t="array" ref="N158">XLOOKUP(M158,Skills[Action],Skills[Icon],"")</f>
        <v/>
      </c>
      <c r="P158" s="5" t="str">
        <f t="array" ref="P158">XLOOKUP(O158,Skills[Action],Skills[Icon],"")</f>
        <v/>
      </c>
      <c r="R158" s="5" t="str">
        <f t="array" ref="R158">XLOOKUP(Q158,Skills[Action],Skills[Icon],"")</f>
        <v/>
      </c>
      <c r="T158" s="5" t="str">
        <f t="array" ref="T158">XLOOKUP(S158,Skills[Action],Skills[Icon],"")</f>
        <v/>
      </c>
      <c r="V158" s="5" t="str">
        <f t="array" ref="V158">XLOOKUP(U158,Skills[Action],Skills[Icon],"")</f>
        <v/>
      </c>
    </row>
    <row r="159">
      <c r="C159" s="7">
        <v>0.0018171296296296297</v>
      </c>
      <c r="L159" s="5" t="str">
        <f t="array" ref="L159">XLOOKUP(K159,Skills[Action],Skills[Icon],"")</f>
        <v/>
      </c>
      <c r="N159" s="5" t="str">
        <f t="array" ref="N159">XLOOKUP(M159,Skills[Action],Skills[Icon],"")</f>
        <v/>
      </c>
      <c r="P159" s="5" t="str">
        <f t="array" ref="P159">XLOOKUP(O159,Skills[Action],Skills[Icon],"")</f>
        <v/>
      </c>
      <c r="R159" s="5" t="str">
        <f t="array" ref="R159">XLOOKUP(Q159,Skills[Action],Skills[Icon],"")</f>
        <v/>
      </c>
      <c r="T159" s="5" t="str">
        <f t="array" ref="T159">XLOOKUP(S159,Skills[Action],Skills[Icon],"")</f>
        <v/>
      </c>
      <c r="V159" s="5" t="str">
        <f t="array" ref="V159">XLOOKUP(U159,Skills[Action],Skills[Icon],"")</f>
        <v/>
      </c>
    </row>
    <row r="160">
      <c r="C160" s="7">
        <v>0.0018287037037037037</v>
      </c>
      <c r="L160" s="5" t="str">
        <f t="array" ref="L160">XLOOKUP(K160,Skills[Action],Skills[Icon],"")</f>
        <v/>
      </c>
      <c r="N160" s="5" t="str">
        <f t="array" ref="N160">XLOOKUP(M160,Skills[Action],Skills[Icon],"")</f>
        <v/>
      </c>
      <c r="P160" s="5" t="str">
        <f t="array" ref="P160">XLOOKUP(O160,Skills[Action],Skills[Icon],"")</f>
        <v/>
      </c>
      <c r="R160" s="5" t="str">
        <f t="array" ref="R160">XLOOKUP(Q160,Skills[Action],Skills[Icon],"")</f>
        <v/>
      </c>
      <c r="T160" s="5" t="str">
        <f t="array" ref="T160">XLOOKUP(S160,Skills[Action],Skills[Icon],"")</f>
        <v/>
      </c>
      <c r="V160" s="5" t="str">
        <f t="array" ref="V160">XLOOKUP(U160,Skills[Action],Skills[Icon],"")</f>
        <v/>
      </c>
    </row>
    <row r="161">
      <c r="C161" s="7">
        <v>0.0018402777777777777</v>
      </c>
      <c r="L161" s="5" t="str">
        <f t="array" ref="L161">XLOOKUP(K161,Skills[Action],Skills[Icon],"")</f>
        <v/>
      </c>
      <c r="N161" s="5" t="str">
        <f t="array" ref="N161">XLOOKUP(M161,Skills[Action],Skills[Icon],"")</f>
        <v/>
      </c>
      <c r="P161" s="5" t="str">
        <f t="array" ref="P161">XLOOKUP(O161,Skills[Action],Skills[Icon],"")</f>
        <v/>
      </c>
      <c r="R161" s="5" t="str">
        <f t="array" ref="R161">XLOOKUP(Q161,Skills[Action],Skills[Icon],"")</f>
        <v/>
      </c>
      <c r="T161" s="5" t="str">
        <f t="array" ref="T161">XLOOKUP(S161,Skills[Action],Skills[Icon],"")</f>
        <v/>
      </c>
      <c r="V161" s="5" t="str">
        <f t="array" ref="V161">XLOOKUP(U161,Skills[Action],Skills[Icon],"")</f>
        <v/>
      </c>
    </row>
    <row r="162">
      <c r="C162" s="7">
        <v>0.001851851851851852</v>
      </c>
      <c r="L162" s="5" t="str">
        <f t="array" ref="L162">XLOOKUP(K162,Skills[Action],Skills[Icon],"")</f>
        <v/>
      </c>
      <c r="N162" s="5" t="str">
        <f t="array" ref="N162">XLOOKUP(M162,Skills[Action],Skills[Icon],"")</f>
        <v/>
      </c>
      <c r="P162" s="5" t="str">
        <f t="array" ref="P162">XLOOKUP(O162,Skills[Action],Skills[Icon],"")</f>
        <v/>
      </c>
      <c r="R162" s="5" t="str">
        <f t="array" ref="R162">XLOOKUP(Q162,Skills[Action],Skills[Icon],"")</f>
        <v/>
      </c>
      <c r="T162" s="5" t="str">
        <f t="array" ref="T162">XLOOKUP(S162,Skills[Action],Skills[Icon],"")</f>
        <v/>
      </c>
      <c r="V162" s="5" t="str">
        <f t="array" ref="V162">XLOOKUP(U162,Skills[Action],Skills[Icon],"")</f>
        <v/>
      </c>
    </row>
    <row r="163">
      <c r="C163" s="7">
        <v>0.001863425925925926</v>
      </c>
      <c r="L163" s="5" t="str">
        <f t="array" ref="L163">XLOOKUP(K163,Skills[Action],Skills[Icon],"")</f>
        <v/>
      </c>
      <c r="N163" s="5" t="str">
        <f t="array" ref="N163">XLOOKUP(M163,Skills[Action],Skills[Icon],"")</f>
        <v/>
      </c>
      <c r="P163" s="5" t="str">
        <f t="array" ref="P163">XLOOKUP(O163,Skills[Action],Skills[Icon],"")</f>
        <v/>
      </c>
      <c r="R163" s="5" t="str">
        <f t="array" ref="R163">XLOOKUP(Q163,Skills[Action],Skills[Icon],"")</f>
        <v/>
      </c>
      <c r="T163" s="5" t="str">
        <f t="array" ref="T163">XLOOKUP(S163,Skills[Action],Skills[Icon],"")</f>
        <v/>
      </c>
      <c r="V163" s="5" t="str">
        <f t="array" ref="V163">XLOOKUP(U163,Skills[Action],Skills[Icon],"")</f>
        <v/>
      </c>
    </row>
    <row r="164">
      <c r="C164" s="7">
        <v>0.001875</v>
      </c>
      <c r="L164" s="5" t="str">
        <f t="array" ref="L164">XLOOKUP(K164,Skills[Action],Skills[Icon],"")</f>
        <v/>
      </c>
      <c r="N164" s="5" t="str">
        <f t="array" ref="N164">XLOOKUP(M164,Skills[Action],Skills[Icon],"")</f>
        <v/>
      </c>
      <c r="P164" s="5" t="str">
        <f t="array" ref="P164">XLOOKUP(O164,Skills[Action],Skills[Icon],"")</f>
        <v/>
      </c>
      <c r="R164" s="5" t="str">
        <f t="array" ref="R164">XLOOKUP(Q164,Skills[Action],Skills[Icon],"")</f>
        <v/>
      </c>
      <c r="T164" s="5" t="str">
        <f t="array" ref="T164">XLOOKUP(S164,Skills[Action],Skills[Icon],"")</f>
        <v/>
      </c>
      <c r="V164" s="5" t="str">
        <f t="array" ref="V164">XLOOKUP(U164,Skills[Action],Skills[Icon],"")</f>
        <v/>
      </c>
    </row>
    <row r="165">
      <c r="C165" s="7">
        <v>0.0018865740740740742</v>
      </c>
      <c r="L165" s="5" t="str">
        <f t="array" ref="L165">XLOOKUP(K165,Skills[Action],Skills[Icon],"")</f>
        <v/>
      </c>
      <c r="N165" s="5" t="str">
        <f t="array" ref="N165">XLOOKUP(M165,Skills[Action],Skills[Icon],"")</f>
        <v/>
      </c>
      <c r="P165" s="5" t="str">
        <f t="array" ref="P165">XLOOKUP(O165,Skills[Action],Skills[Icon],"")</f>
        <v/>
      </c>
      <c r="R165" s="5" t="str">
        <f t="array" ref="R165">XLOOKUP(Q165,Skills[Action],Skills[Icon],"")</f>
        <v/>
      </c>
      <c r="T165" s="5" t="str">
        <f t="array" ref="T165">XLOOKUP(S165,Skills[Action],Skills[Icon],"")</f>
        <v/>
      </c>
      <c r="V165" s="5" t="str">
        <f t="array" ref="V165">XLOOKUP(U165,Skills[Action],Skills[Icon],"")</f>
        <v/>
      </c>
    </row>
    <row r="166">
      <c r="C166" s="7">
        <v>0.0018981481481481482</v>
      </c>
      <c r="L166" s="5" t="str">
        <f t="array" ref="L166">XLOOKUP(K166,Skills[Action],Skills[Icon],"")</f>
        <v/>
      </c>
      <c r="N166" s="5" t="str">
        <f t="array" ref="N166">XLOOKUP(M166,Skills[Action],Skills[Icon],"")</f>
        <v/>
      </c>
      <c r="P166" s="5" t="str">
        <f t="array" ref="P166">XLOOKUP(O166,Skills[Action],Skills[Icon],"")</f>
        <v/>
      </c>
      <c r="R166" s="5" t="str">
        <f t="array" ref="R166">XLOOKUP(Q166,Skills[Action],Skills[Icon],"")</f>
        <v/>
      </c>
      <c r="T166" s="5" t="str">
        <f t="array" ref="T166">XLOOKUP(S166,Skills[Action],Skills[Icon],"")</f>
        <v/>
      </c>
      <c r="V166" s="5" t="str">
        <f t="array" ref="V166">XLOOKUP(U166,Skills[Action],Skills[Icon],"")</f>
        <v/>
      </c>
    </row>
    <row r="167">
      <c r="C167" s="7">
        <v>0.0019097222222222222</v>
      </c>
      <c r="L167" s="5" t="str">
        <f t="array" ref="L167">XLOOKUP(K167,Skills[Action],Skills[Icon],"")</f>
        <v/>
      </c>
      <c r="N167" s="5" t="str">
        <f t="array" ref="N167">XLOOKUP(M167,Skills[Action],Skills[Icon],"")</f>
        <v/>
      </c>
      <c r="P167" s="5" t="str">
        <f t="array" ref="P167">XLOOKUP(O167,Skills[Action],Skills[Icon],"")</f>
        <v/>
      </c>
      <c r="R167" s="5" t="str">
        <f t="array" ref="R167">XLOOKUP(Q167,Skills[Action],Skills[Icon],"")</f>
        <v/>
      </c>
      <c r="T167" s="5" t="str">
        <f t="array" ref="T167">XLOOKUP(S167,Skills[Action],Skills[Icon],"")</f>
        <v/>
      </c>
      <c r="V167" s="5" t="str">
        <f t="array" ref="V167">XLOOKUP(U167,Skills[Action],Skills[Icon],"")</f>
        <v/>
      </c>
    </row>
    <row r="168">
      <c r="C168" s="7">
        <v>0.0019212962962962964</v>
      </c>
      <c r="L168" s="5" t="str">
        <f t="array" ref="L168">XLOOKUP(K168,Skills[Action],Skills[Icon],"")</f>
        <v/>
      </c>
      <c r="N168" s="5" t="str">
        <f t="array" ref="N168">XLOOKUP(M168,Skills[Action],Skills[Icon],"")</f>
        <v/>
      </c>
      <c r="P168" s="5" t="str">
        <f t="array" ref="P168">XLOOKUP(O168,Skills[Action],Skills[Icon],"")</f>
        <v/>
      </c>
      <c r="R168" s="5" t="str">
        <f t="array" ref="R168">XLOOKUP(Q168,Skills[Action],Skills[Icon],"")</f>
        <v/>
      </c>
      <c r="T168" s="5" t="str">
        <f t="array" ref="T168">XLOOKUP(S168,Skills[Action],Skills[Icon],"")</f>
        <v/>
      </c>
      <c r="V168" s="5" t="str">
        <f t="array" ref="V168">XLOOKUP(U168,Skills[Action],Skills[Icon],"")</f>
        <v/>
      </c>
    </row>
    <row r="169">
      <c r="C169" s="7">
        <v>0.0019328703703703704</v>
      </c>
      <c r="L169" s="5" t="str">
        <f t="array" ref="L169">XLOOKUP(K169,Skills[Action],Skills[Icon],"")</f>
        <v/>
      </c>
      <c r="N169" s="5" t="str">
        <f t="array" ref="N169">XLOOKUP(M169,Skills[Action],Skills[Icon],"")</f>
        <v/>
      </c>
      <c r="P169" s="5" t="str">
        <f t="array" ref="P169">XLOOKUP(O169,Skills[Action],Skills[Icon],"")</f>
        <v/>
      </c>
      <c r="R169" s="5" t="str">
        <f t="array" ref="R169">XLOOKUP(Q169,Skills[Action],Skills[Icon],"")</f>
        <v/>
      </c>
      <c r="T169" s="5" t="str">
        <f t="array" ref="T169">XLOOKUP(S169,Skills[Action],Skills[Icon],"")</f>
        <v/>
      </c>
      <c r="V169" s="5" t="str">
        <f t="array" ref="V169">XLOOKUP(U169,Skills[Action],Skills[Icon],"")</f>
        <v/>
      </c>
    </row>
    <row r="170">
      <c r="C170" s="7">
        <v>0.0019444444444444444</v>
      </c>
      <c r="L170" s="5" t="str">
        <f t="array" ref="L170">XLOOKUP(K170,Skills[Action],Skills[Icon],"")</f>
        <v/>
      </c>
      <c r="N170" s="5" t="str">
        <f t="array" ref="N170">XLOOKUP(M170,Skills[Action],Skills[Icon],"")</f>
        <v/>
      </c>
      <c r="P170" s="5" t="str">
        <f t="array" ref="P170">XLOOKUP(O170,Skills[Action],Skills[Icon],"")</f>
        <v/>
      </c>
      <c r="R170" s="5" t="str">
        <f t="array" ref="R170">XLOOKUP(Q170,Skills[Action],Skills[Icon],"")</f>
        <v/>
      </c>
      <c r="T170" s="5" t="str">
        <f t="array" ref="T170">XLOOKUP(S170,Skills[Action],Skills[Icon],"")</f>
        <v/>
      </c>
      <c r="V170" s="5" t="str">
        <f t="array" ref="V170">XLOOKUP(U170,Skills[Action],Skills[Icon],"")</f>
        <v/>
      </c>
    </row>
    <row r="171">
      <c r="C171" s="7">
        <v>0.0019560185185185184</v>
      </c>
      <c r="L171" s="5" t="str">
        <f t="array" ref="L171">XLOOKUP(K171,Skills[Action],Skills[Icon],"")</f>
        <v/>
      </c>
      <c r="N171" s="5" t="str">
        <f t="array" ref="N171">XLOOKUP(M171,Skills[Action],Skills[Icon],"")</f>
        <v/>
      </c>
      <c r="P171" s="5" t="str">
        <f t="array" ref="P171">XLOOKUP(O171,Skills[Action],Skills[Icon],"")</f>
        <v/>
      </c>
      <c r="R171" s="5" t="str">
        <f t="array" ref="R171">XLOOKUP(Q171,Skills[Action],Skills[Icon],"")</f>
        <v/>
      </c>
      <c r="T171" s="5" t="str">
        <f t="array" ref="T171">XLOOKUP(S171,Skills[Action],Skills[Icon],"")</f>
        <v/>
      </c>
      <c r="V171" s="5" t="str">
        <f t="array" ref="V171">XLOOKUP(U171,Skills[Action],Skills[Icon],"")</f>
        <v/>
      </c>
    </row>
    <row r="172">
      <c r="C172" s="7">
        <v>0.0019675925925925924</v>
      </c>
      <c r="L172" s="5" t="str">
        <f t="array" ref="L172">XLOOKUP(K172,Skills[Action],Skills[Icon],"")</f>
        <v/>
      </c>
      <c r="N172" s="5" t="str">
        <f t="array" ref="N172">XLOOKUP(M172,Skills[Action],Skills[Icon],"")</f>
        <v/>
      </c>
      <c r="P172" s="5" t="str">
        <f t="array" ref="P172">XLOOKUP(O172,Skills[Action],Skills[Icon],"")</f>
        <v/>
      </c>
      <c r="R172" s="5" t="str">
        <f t="array" ref="R172">XLOOKUP(Q172,Skills[Action],Skills[Icon],"")</f>
        <v/>
      </c>
      <c r="T172" s="5" t="str">
        <f t="array" ref="T172">XLOOKUP(S172,Skills[Action],Skills[Icon],"")</f>
        <v/>
      </c>
      <c r="V172" s="5" t="str">
        <f t="array" ref="V172">XLOOKUP(U172,Skills[Action],Skills[Icon],"")</f>
        <v/>
      </c>
    </row>
    <row r="173">
      <c r="C173" s="7">
        <v>0.001979166666666667</v>
      </c>
      <c r="L173" s="5" t="str">
        <f t="array" ref="L173">XLOOKUP(K173,Skills[Action],Skills[Icon],"")</f>
        <v/>
      </c>
      <c r="N173" s="5" t="str">
        <f t="array" ref="N173">XLOOKUP(M173,Skills[Action],Skills[Icon],"")</f>
        <v/>
      </c>
      <c r="P173" s="5" t="str">
        <f t="array" ref="P173">XLOOKUP(O173,Skills[Action],Skills[Icon],"")</f>
        <v/>
      </c>
      <c r="R173" s="5" t="str">
        <f t="array" ref="R173">XLOOKUP(Q173,Skills[Action],Skills[Icon],"")</f>
        <v/>
      </c>
      <c r="T173" s="5" t="str">
        <f t="array" ref="T173">XLOOKUP(S173,Skills[Action],Skills[Icon],"")</f>
        <v/>
      </c>
      <c r="V173" s="5" t="str">
        <f t="array" ref="V173">XLOOKUP(U173,Skills[Action],Skills[Icon],"")</f>
        <v/>
      </c>
    </row>
    <row r="174">
      <c r="C174" s="7">
        <v>0.001990740740740741</v>
      </c>
      <c r="L174" s="5" t="str">
        <f t="array" ref="L174">XLOOKUP(K174,Skills[Action],Skills[Icon],"")</f>
        <v/>
      </c>
      <c r="N174" s="5" t="str">
        <f t="array" ref="N174">XLOOKUP(M174,Skills[Action],Skills[Icon],"")</f>
        <v/>
      </c>
      <c r="P174" s="5" t="str">
        <f t="array" ref="P174">XLOOKUP(O174,Skills[Action],Skills[Icon],"")</f>
        <v/>
      </c>
      <c r="R174" s="5" t="str">
        <f t="array" ref="R174">XLOOKUP(Q174,Skills[Action],Skills[Icon],"")</f>
        <v/>
      </c>
      <c r="T174" s="5" t="str">
        <f t="array" ref="T174">XLOOKUP(S174,Skills[Action],Skills[Icon],"")</f>
        <v/>
      </c>
      <c r="V174" s="5" t="str">
        <f t="array" ref="V174">XLOOKUP(U174,Skills[Action],Skills[Icon],"")</f>
        <v/>
      </c>
    </row>
    <row r="175">
      <c r="C175" s="7">
        <v>0.002002314814814815</v>
      </c>
      <c r="L175" s="5" t="str">
        <f t="array" ref="L175">XLOOKUP(K175,Skills[Action],Skills[Icon],"")</f>
        <v/>
      </c>
      <c r="N175" s="5" t="str">
        <f t="array" ref="N175">XLOOKUP(M175,Skills[Action],Skills[Icon],"")</f>
        <v/>
      </c>
      <c r="P175" s="5" t="str">
        <f t="array" ref="P175">XLOOKUP(O175,Skills[Action],Skills[Icon],"")</f>
        <v/>
      </c>
      <c r="R175" s="5" t="str">
        <f t="array" ref="R175">XLOOKUP(Q175,Skills[Action],Skills[Icon],"")</f>
        <v/>
      </c>
      <c r="T175" s="5" t="str">
        <f t="array" ref="T175">XLOOKUP(S175,Skills[Action],Skills[Icon],"")</f>
        <v/>
      </c>
      <c r="V175" s="5" t="str">
        <f t="array" ref="V175">XLOOKUP(U175,Skills[Action],Skills[Icon],"")</f>
        <v/>
      </c>
    </row>
    <row r="176">
      <c r="C176" s="7">
        <v>0.002013888888888889</v>
      </c>
      <c r="L176" s="5" t="str">
        <f t="array" ref="L176">XLOOKUP(K176,Skills[Action],Skills[Icon],"")</f>
        <v/>
      </c>
      <c r="N176" s="5" t="str">
        <f t="array" ref="N176">XLOOKUP(M176,Skills[Action],Skills[Icon],"")</f>
        <v/>
      </c>
      <c r="P176" s="5" t="str">
        <f t="array" ref="P176">XLOOKUP(O176,Skills[Action],Skills[Icon],"")</f>
        <v/>
      </c>
      <c r="R176" s="5" t="str">
        <f t="array" ref="R176">XLOOKUP(Q176,Skills[Action],Skills[Icon],"")</f>
        <v/>
      </c>
      <c r="T176" s="5" t="str">
        <f t="array" ref="T176">XLOOKUP(S176,Skills[Action],Skills[Icon],"")</f>
        <v/>
      </c>
      <c r="V176" s="5" t="str">
        <f t="array" ref="V176">XLOOKUP(U176,Skills[Action],Skills[Icon],"")</f>
        <v/>
      </c>
    </row>
    <row r="177">
      <c r="C177" s="7">
        <v>0.002025462962962963</v>
      </c>
      <c r="L177" s="5" t="str">
        <f t="array" ref="L177">XLOOKUP(K177,Skills[Action],Skills[Icon],"")</f>
        <v/>
      </c>
      <c r="N177" s="5" t="str">
        <f t="array" ref="N177">XLOOKUP(M177,Skills[Action],Skills[Icon],"")</f>
        <v/>
      </c>
      <c r="P177" s="5" t="str">
        <f t="array" ref="P177">XLOOKUP(O177,Skills[Action],Skills[Icon],"")</f>
        <v/>
      </c>
      <c r="R177" s="5" t="str">
        <f t="array" ref="R177">XLOOKUP(Q177,Skills[Action],Skills[Icon],"")</f>
        <v/>
      </c>
      <c r="T177" s="5" t="str">
        <f t="array" ref="T177">XLOOKUP(S177,Skills[Action],Skills[Icon],"")</f>
        <v/>
      </c>
      <c r="V177" s="5" t="str">
        <f t="array" ref="V177">XLOOKUP(U177,Skills[Action],Skills[Icon],"")</f>
        <v/>
      </c>
    </row>
    <row r="178">
      <c r="C178" s="7">
        <v>0.002037037037037037</v>
      </c>
      <c r="L178" s="5" t="str">
        <f t="array" ref="L178">XLOOKUP(K178,Skills[Action],Skills[Icon],"")</f>
        <v/>
      </c>
      <c r="N178" s="5" t="str">
        <f t="array" ref="N178">XLOOKUP(M178,Skills[Action],Skills[Icon],"")</f>
        <v/>
      </c>
      <c r="P178" s="5" t="str">
        <f t="array" ref="P178">XLOOKUP(O178,Skills[Action],Skills[Icon],"")</f>
        <v/>
      </c>
      <c r="R178" s="5" t="str">
        <f t="array" ref="R178">XLOOKUP(Q178,Skills[Action],Skills[Icon],"")</f>
        <v/>
      </c>
      <c r="T178" s="5" t="str">
        <f t="array" ref="T178">XLOOKUP(S178,Skills[Action],Skills[Icon],"")</f>
        <v/>
      </c>
      <c r="V178" s="5" t="str">
        <f t="array" ref="V178">XLOOKUP(U178,Skills[Action],Skills[Icon],"")</f>
        <v/>
      </c>
    </row>
    <row r="179">
      <c r="C179" s="7">
        <v>0.0020486111111111113</v>
      </c>
      <c r="L179" s="5" t="str">
        <f t="array" ref="L179">XLOOKUP(K179,Skills[Action],Skills[Icon],"")</f>
        <v/>
      </c>
      <c r="N179" s="5" t="str">
        <f t="array" ref="N179">XLOOKUP(M179,Skills[Action],Skills[Icon],"")</f>
        <v/>
      </c>
      <c r="P179" s="5" t="str">
        <f t="array" ref="P179">XLOOKUP(O179,Skills[Action],Skills[Icon],"")</f>
        <v/>
      </c>
      <c r="R179" s="5" t="str">
        <f t="array" ref="R179">XLOOKUP(Q179,Skills[Action],Skills[Icon],"")</f>
        <v/>
      </c>
      <c r="T179" s="5" t="str">
        <f t="array" ref="T179">XLOOKUP(S179,Skills[Action],Skills[Icon],"")</f>
        <v/>
      </c>
      <c r="V179" s="5" t="str">
        <f t="array" ref="V179">XLOOKUP(U179,Skills[Action],Skills[Icon],"")</f>
        <v/>
      </c>
    </row>
    <row r="180">
      <c r="C180" s="7">
        <v>0.0020601851851851853</v>
      </c>
      <c r="L180" s="5" t="str">
        <f t="array" ref="L180">XLOOKUP(K180,Skills[Action],Skills[Icon],"")</f>
        <v/>
      </c>
      <c r="N180" s="5" t="str">
        <f t="array" ref="N180">XLOOKUP(M180,Skills[Action],Skills[Icon],"")</f>
        <v/>
      </c>
      <c r="P180" s="5" t="str">
        <f t="array" ref="P180">XLOOKUP(O180,Skills[Action],Skills[Icon],"")</f>
        <v/>
      </c>
      <c r="R180" s="5" t="str">
        <f t="array" ref="R180">XLOOKUP(Q180,Skills[Action],Skills[Icon],"")</f>
        <v/>
      </c>
      <c r="T180" s="5" t="str">
        <f t="array" ref="T180">XLOOKUP(S180,Skills[Action],Skills[Icon],"")</f>
        <v/>
      </c>
      <c r="V180" s="5" t="str">
        <f t="array" ref="V180">XLOOKUP(U180,Skills[Action],Skills[Icon],"")</f>
        <v/>
      </c>
    </row>
    <row r="181">
      <c r="C181" s="7">
        <v>0.0020717592592592593</v>
      </c>
      <c r="L181" s="5" t="str">
        <f t="array" ref="L181">XLOOKUP(K181,Skills[Action],Skills[Icon],"")</f>
        <v/>
      </c>
      <c r="N181" s="5" t="str">
        <f t="array" ref="N181">XLOOKUP(M181,Skills[Action],Skills[Icon],"")</f>
        <v/>
      </c>
      <c r="P181" s="5" t="str">
        <f t="array" ref="P181">XLOOKUP(O181,Skills[Action],Skills[Icon],"")</f>
        <v/>
      </c>
      <c r="R181" s="5" t="str">
        <f t="array" ref="R181">XLOOKUP(Q181,Skills[Action],Skills[Icon],"")</f>
        <v/>
      </c>
      <c r="T181" s="5" t="str">
        <f t="array" ref="T181">XLOOKUP(S181,Skills[Action],Skills[Icon],"")</f>
        <v/>
      </c>
      <c r="V181" s="5" t="str">
        <f t="array" ref="V181">XLOOKUP(U181,Skills[Action],Skills[Icon],"")</f>
        <v/>
      </c>
    </row>
    <row r="182">
      <c r="C182" s="7">
        <v>0.0020833333333333333</v>
      </c>
      <c r="L182" s="5" t="str">
        <f t="array" ref="L182">XLOOKUP(K182,Skills[Action],Skills[Icon],"")</f>
        <v/>
      </c>
      <c r="N182" s="5" t="str">
        <f t="array" ref="N182">XLOOKUP(M182,Skills[Action],Skills[Icon],"")</f>
        <v/>
      </c>
      <c r="P182" s="5" t="str">
        <f t="array" ref="P182">XLOOKUP(O182,Skills[Action],Skills[Icon],"")</f>
        <v/>
      </c>
      <c r="R182" s="5" t="str">
        <f t="array" ref="R182">XLOOKUP(Q182,Skills[Action],Skills[Icon],"")</f>
        <v/>
      </c>
      <c r="T182" s="5" t="str">
        <f t="array" ref="T182">XLOOKUP(S182,Skills[Action],Skills[Icon],"")</f>
        <v/>
      </c>
      <c r="V182" s="5" t="str">
        <f t="array" ref="V182">XLOOKUP(U182,Skills[Action],Skills[Icon],"")</f>
        <v/>
      </c>
    </row>
    <row r="183">
      <c r="C183" s="7">
        <v>0.0020949074074074073</v>
      </c>
      <c r="L183" s="5" t="str">
        <f t="array" ref="L183">XLOOKUP(K183,Skills[Action],Skills[Icon],"")</f>
        <v/>
      </c>
      <c r="N183" s="5" t="str">
        <f t="array" ref="N183">XLOOKUP(M183,Skills[Action],Skills[Icon],"")</f>
        <v/>
      </c>
      <c r="P183" s="5" t="str">
        <f t="array" ref="P183">XLOOKUP(O183,Skills[Action],Skills[Icon],"")</f>
        <v/>
      </c>
      <c r="R183" s="5" t="str">
        <f t="array" ref="R183">XLOOKUP(Q183,Skills[Action],Skills[Icon],"")</f>
        <v/>
      </c>
      <c r="T183" s="5" t="str">
        <f t="array" ref="T183">XLOOKUP(S183,Skills[Action],Skills[Icon],"")</f>
        <v/>
      </c>
      <c r="V183" s="5" t="str">
        <f t="array" ref="V183">XLOOKUP(U183,Skills[Action],Skills[Icon],"")</f>
        <v/>
      </c>
    </row>
    <row r="184">
      <c r="C184" s="7">
        <v>0.0021064814814814813</v>
      </c>
      <c r="L184" s="5" t="str">
        <f t="array" ref="L184">XLOOKUP(K184,Skills[Action],Skills[Icon],"")</f>
        <v/>
      </c>
      <c r="N184" s="5" t="str">
        <f t="array" ref="N184">XLOOKUP(M184,Skills[Action],Skills[Icon],"")</f>
        <v/>
      </c>
      <c r="P184" s="5" t="str">
        <f t="array" ref="P184">XLOOKUP(O184,Skills[Action],Skills[Icon],"")</f>
        <v/>
      </c>
      <c r="R184" s="5" t="str">
        <f t="array" ref="R184">XLOOKUP(Q184,Skills[Action],Skills[Icon],"")</f>
        <v/>
      </c>
      <c r="T184" s="5" t="str">
        <f t="array" ref="T184">XLOOKUP(S184,Skills[Action],Skills[Icon],"")</f>
        <v/>
      </c>
      <c r="V184" s="5" t="str">
        <f t="array" ref="V184">XLOOKUP(U184,Skills[Action],Skills[Icon],"")</f>
        <v/>
      </c>
    </row>
    <row r="185">
      <c r="C185" s="7">
        <v>0.0021180555555555558</v>
      </c>
      <c r="L185" s="5" t="str">
        <f t="array" ref="L185">XLOOKUP(K185,Skills[Action],Skills[Icon],"")</f>
        <v/>
      </c>
      <c r="N185" s="5" t="str">
        <f t="array" ref="N185">XLOOKUP(M185,Skills[Action],Skills[Icon],"")</f>
        <v/>
      </c>
      <c r="P185" s="5" t="str">
        <f t="array" ref="P185">XLOOKUP(O185,Skills[Action],Skills[Icon],"")</f>
        <v/>
      </c>
      <c r="R185" s="5" t="str">
        <f t="array" ref="R185">XLOOKUP(Q185,Skills[Action],Skills[Icon],"")</f>
        <v/>
      </c>
      <c r="T185" s="5" t="str">
        <f t="array" ref="T185">XLOOKUP(S185,Skills[Action],Skills[Icon],"")</f>
        <v/>
      </c>
      <c r="V185" s="5" t="str">
        <f t="array" ref="V185">XLOOKUP(U185,Skills[Action],Skills[Icon],"")</f>
        <v/>
      </c>
    </row>
    <row r="186">
      <c r="C186" s="7">
        <v>0.0021296296296296298</v>
      </c>
      <c r="L186" s="5" t="str">
        <f t="array" ref="L186">XLOOKUP(K186,Skills[Action],Skills[Icon],"")</f>
        <v/>
      </c>
      <c r="N186" s="5" t="str">
        <f t="array" ref="N186">XLOOKUP(M186,Skills[Action],Skills[Icon],"")</f>
        <v/>
      </c>
      <c r="P186" s="5" t="str">
        <f t="array" ref="P186">XLOOKUP(O186,Skills[Action],Skills[Icon],"")</f>
        <v/>
      </c>
      <c r="R186" s="5" t="str">
        <f t="array" ref="R186">XLOOKUP(Q186,Skills[Action],Skills[Icon],"")</f>
        <v/>
      </c>
      <c r="T186" s="5" t="str">
        <f t="array" ref="T186">XLOOKUP(S186,Skills[Action],Skills[Icon],"")</f>
        <v/>
      </c>
      <c r="V186" s="5" t="str">
        <f t="array" ref="V186">XLOOKUP(U186,Skills[Action],Skills[Icon],"")</f>
        <v/>
      </c>
    </row>
    <row r="187">
      <c r="C187" s="7">
        <v>0.0021412037037037038</v>
      </c>
      <c r="L187" s="5" t="str">
        <f t="array" ref="L187">XLOOKUP(K187,Skills[Action],Skills[Icon],"")</f>
        <v/>
      </c>
      <c r="N187" s="5" t="str">
        <f t="array" ref="N187">XLOOKUP(M187,Skills[Action],Skills[Icon],"")</f>
        <v/>
      </c>
      <c r="P187" s="5" t="str">
        <f t="array" ref="P187">XLOOKUP(O187,Skills[Action],Skills[Icon],"")</f>
        <v/>
      </c>
      <c r="R187" s="5" t="str">
        <f t="array" ref="R187">XLOOKUP(Q187,Skills[Action],Skills[Icon],"")</f>
        <v/>
      </c>
      <c r="T187" s="5" t="str">
        <f t="array" ref="T187">XLOOKUP(S187,Skills[Action],Skills[Icon],"")</f>
        <v/>
      </c>
      <c r="V187" s="5" t="str">
        <f t="array" ref="V187">XLOOKUP(U187,Skills[Action],Skills[Icon],"")</f>
        <v/>
      </c>
    </row>
    <row r="188">
      <c r="C188" s="7">
        <v>0.0021527777777777778</v>
      </c>
      <c r="L188" s="5" t="str">
        <f t="array" ref="L188">XLOOKUP(K188,Skills[Action],Skills[Icon],"")</f>
        <v/>
      </c>
      <c r="N188" s="5" t="str">
        <f t="array" ref="N188">XLOOKUP(M188,Skills[Action],Skills[Icon],"")</f>
        <v/>
      </c>
      <c r="P188" s="5" t="str">
        <f t="array" ref="P188">XLOOKUP(O188,Skills[Action],Skills[Icon],"")</f>
        <v/>
      </c>
      <c r="R188" s="5" t="str">
        <f t="array" ref="R188">XLOOKUP(Q188,Skills[Action],Skills[Icon],"")</f>
        <v/>
      </c>
      <c r="T188" s="5" t="str">
        <f t="array" ref="T188">XLOOKUP(S188,Skills[Action],Skills[Icon],"")</f>
        <v/>
      </c>
      <c r="V188" s="5" t="str">
        <f t="array" ref="V188">XLOOKUP(U188,Skills[Action],Skills[Icon],"")</f>
        <v/>
      </c>
    </row>
    <row r="189">
      <c r="C189" s="7">
        <v>0.0021643518518518518</v>
      </c>
      <c r="L189" s="5" t="str">
        <f t="array" ref="L189">XLOOKUP(K189,Skills[Action],Skills[Icon],"")</f>
        <v/>
      </c>
      <c r="N189" s="5" t="str">
        <f t="array" ref="N189">XLOOKUP(M189,Skills[Action],Skills[Icon],"")</f>
        <v/>
      </c>
      <c r="P189" s="5" t="str">
        <f t="array" ref="P189">XLOOKUP(O189,Skills[Action],Skills[Icon],"")</f>
        <v/>
      </c>
      <c r="R189" s="5" t="str">
        <f t="array" ref="R189">XLOOKUP(Q189,Skills[Action],Skills[Icon],"")</f>
        <v/>
      </c>
      <c r="T189" s="5" t="str">
        <f t="array" ref="T189">XLOOKUP(S189,Skills[Action],Skills[Icon],"")</f>
        <v/>
      </c>
      <c r="V189" s="5" t="str">
        <f t="array" ref="V189">XLOOKUP(U189,Skills[Action],Skills[Icon],"")</f>
        <v/>
      </c>
    </row>
    <row r="190">
      <c r="C190" s="7">
        <v>0.0021759259259259258</v>
      </c>
      <c r="L190" s="5" t="str">
        <f t="array" ref="L190">XLOOKUP(K190,Skills[Action],Skills[Icon],"")</f>
        <v/>
      </c>
      <c r="N190" s="5" t="str">
        <f t="array" ref="N190">XLOOKUP(M190,Skills[Action],Skills[Icon],"")</f>
        <v/>
      </c>
      <c r="P190" s="5" t="str">
        <f t="array" ref="P190">XLOOKUP(O190,Skills[Action],Skills[Icon],"")</f>
        <v/>
      </c>
      <c r="R190" s="5" t="str">
        <f t="array" ref="R190">XLOOKUP(Q190,Skills[Action],Skills[Icon],"")</f>
        <v/>
      </c>
      <c r="T190" s="5" t="str">
        <f t="array" ref="T190">XLOOKUP(S190,Skills[Action],Skills[Icon],"")</f>
        <v/>
      </c>
      <c r="V190" s="5" t="str">
        <f t="array" ref="V190">XLOOKUP(U190,Skills[Action],Skills[Icon],"")</f>
        <v/>
      </c>
    </row>
    <row r="191">
      <c r="C191" s="7">
        <v>0.0021875</v>
      </c>
      <c r="L191" s="5" t="str">
        <f t="array" ref="L191">XLOOKUP(K191,Skills[Action],Skills[Icon],"")</f>
        <v/>
      </c>
      <c r="N191" s="5" t="str">
        <f t="array" ref="N191">XLOOKUP(M191,Skills[Action],Skills[Icon],"")</f>
        <v/>
      </c>
      <c r="P191" s="5" t="str">
        <f t="array" ref="P191">XLOOKUP(O191,Skills[Action],Skills[Icon],"")</f>
        <v/>
      </c>
      <c r="R191" s="5" t="str">
        <f t="array" ref="R191">XLOOKUP(Q191,Skills[Action],Skills[Icon],"")</f>
        <v/>
      </c>
      <c r="T191" s="5" t="str">
        <f t="array" ref="T191">XLOOKUP(S191,Skills[Action],Skills[Icon],"")</f>
        <v/>
      </c>
      <c r="V191" s="5" t="str">
        <f t="array" ref="V191">XLOOKUP(U191,Skills[Action],Skills[Icon],"")</f>
        <v/>
      </c>
    </row>
    <row r="192">
      <c r="C192" s="7">
        <v>0.002199074074074074</v>
      </c>
      <c r="L192" s="5" t="str">
        <f t="array" ref="L192">XLOOKUP(K192,Skills[Action],Skills[Icon],"")</f>
        <v/>
      </c>
      <c r="N192" s="5" t="str">
        <f t="array" ref="N192">XLOOKUP(M192,Skills[Action],Skills[Icon],"")</f>
        <v/>
      </c>
      <c r="P192" s="5" t="str">
        <f t="array" ref="P192">XLOOKUP(O192,Skills[Action],Skills[Icon],"")</f>
        <v/>
      </c>
      <c r="R192" s="5" t="str">
        <f t="array" ref="R192">XLOOKUP(Q192,Skills[Action],Skills[Icon],"")</f>
        <v/>
      </c>
      <c r="T192" s="5" t="str">
        <f t="array" ref="T192">XLOOKUP(S192,Skills[Action],Skills[Icon],"")</f>
        <v/>
      </c>
      <c r="V192" s="5" t="str">
        <f t="array" ref="V192">XLOOKUP(U192,Skills[Action],Skills[Icon],"")</f>
        <v/>
      </c>
    </row>
    <row r="193">
      <c r="C193" s="7">
        <v>0.002210648148148148</v>
      </c>
      <c r="L193" s="5" t="str">
        <f t="array" ref="L193">XLOOKUP(K193,Skills[Action],Skills[Icon],"")</f>
        <v/>
      </c>
      <c r="N193" s="5" t="str">
        <f t="array" ref="N193">XLOOKUP(M193,Skills[Action],Skills[Icon],"")</f>
        <v/>
      </c>
      <c r="P193" s="5" t="str">
        <f t="array" ref="P193">XLOOKUP(O193,Skills[Action],Skills[Icon],"")</f>
        <v/>
      </c>
      <c r="R193" s="5" t="str">
        <f t="array" ref="R193">XLOOKUP(Q193,Skills[Action],Skills[Icon],"")</f>
        <v/>
      </c>
      <c r="T193" s="5" t="str">
        <f t="array" ref="T193">XLOOKUP(S193,Skills[Action],Skills[Icon],"")</f>
        <v/>
      </c>
      <c r="V193" s="5" t="str">
        <f t="array" ref="V193">XLOOKUP(U193,Skills[Action],Skills[Icon],"")</f>
        <v/>
      </c>
    </row>
    <row r="194">
      <c r="C194" s="7">
        <v>0.0022222222222222222</v>
      </c>
      <c r="L194" s="5" t="str">
        <f t="array" ref="L194">XLOOKUP(K194,Skills[Action],Skills[Icon],"")</f>
        <v/>
      </c>
      <c r="N194" s="5" t="str">
        <f t="array" ref="N194">XLOOKUP(M194,Skills[Action],Skills[Icon],"")</f>
        <v/>
      </c>
      <c r="P194" s="5" t="str">
        <f t="array" ref="P194">XLOOKUP(O194,Skills[Action],Skills[Icon],"")</f>
        <v/>
      </c>
      <c r="R194" s="5" t="str">
        <f t="array" ref="R194">XLOOKUP(Q194,Skills[Action],Skills[Icon],"")</f>
        <v/>
      </c>
      <c r="T194" s="5" t="str">
        <f t="array" ref="T194">XLOOKUP(S194,Skills[Action],Skills[Icon],"")</f>
        <v/>
      </c>
      <c r="V194" s="5" t="str">
        <f t="array" ref="V194">XLOOKUP(U194,Skills[Action],Skills[Icon],"")</f>
        <v/>
      </c>
    </row>
    <row r="195">
      <c r="C195" s="7">
        <v>0.0022337962962962962</v>
      </c>
      <c r="L195" s="5" t="str">
        <f t="array" ref="L195">XLOOKUP(K195,Skills[Action],Skills[Icon],"")</f>
        <v/>
      </c>
      <c r="N195" s="5" t="str">
        <f t="array" ref="N195">XLOOKUP(M195,Skills[Action],Skills[Icon],"")</f>
        <v/>
      </c>
      <c r="P195" s="5" t="str">
        <f t="array" ref="P195">XLOOKUP(O195,Skills[Action],Skills[Icon],"")</f>
        <v/>
      </c>
      <c r="R195" s="5" t="str">
        <f t="array" ref="R195">XLOOKUP(Q195,Skills[Action],Skills[Icon],"")</f>
        <v/>
      </c>
      <c r="T195" s="5" t="str">
        <f t="array" ref="T195">XLOOKUP(S195,Skills[Action],Skills[Icon],"")</f>
        <v/>
      </c>
      <c r="V195" s="5" t="str">
        <f t="array" ref="V195">XLOOKUP(U195,Skills[Action],Skills[Icon],"")</f>
        <v/>
      </c>
    </row>
    <row r="196">
      <c r="C196" s="7">
        <v>0.0022453703703703702</v>
      </c>
      <c r="L196" s="5" t="str">
        <f t="array" ref="L196">XLOOKUP(K196,Skills[Action],Skills[Icon],"")</f>
        <v/>
      </c>
      <c r="N196" s="5" t="str">
        <f t="array" ref="N196">XLOOKUP(M196,Skills[Action],Skills[Icon],"")</f>
        <v/>
      </c>
      <c r="P196" s="5" t="str">
        <f t="array" ref="P196">XLOOKUP(O196,Skills[Action],Skills[Icon],"")</f>
        <v/>
      </c>
      <c r="R196" s="5" t="str">
        <f t="array" ref="R196">XLOOKUP(Q196,Skills[Action],Skills[Icon],"")</f>
        <v/>
      </c>
      <c r="T196" s="5" t="str">
        <f t="array" ref="T196">XLOOKUP(S196,Skills[Action],Skills[Icon],"")</f>
        <v/>
      </c>
      <c r="V196" s="5" t="str">
        <f t="array" ref="V196">XLOOKUP(U196,Skills[Action],Skills[Icon],"")</f>
        <v/>
      </c>
    </row>
    <row r="197">
      <c r="C197" s="7">
        <v>0.0022569444444444442</v>
      </c>
      <c r="L197" s="5" t="str">
        <f t="array" ref="L197">XLOOKUP(K197,Skills[Action],Skills[Icon],"")</f>
        <v/>
      </c>
      <c r="N197" s="5" t="str">
        <f t="array" ref="N197">XLOOKUP(M197,Skills[Action],Skills[Icon],"")</f>
        <v/>
      </c>
      <c r="P197" s="5" t="str">
        <f t="array" ref="P197">XLOOKUP(O197,Skills[Action],Skills[Icon],"")</f>
        <v/>
      </c>
      <c r="R197" s="5" t="str">
        <f t="array" ref="R197">XLOOKUP(Q197,Skills[Action],Skills[Icon],"")</f>
        <v/>
      </c>
      <c r="T197" s="5" t="str">
        <f t="array" ref="T197">XLOOKUP(S197,Skills[Action],Skills[Icon],"")</f>
        <v/>
      </c>
      <c r="V197" s="5" t="str">
        <f t="array" ref="V197">XLOOKUP(U197,Skills[Action],Skills[Icon],"")</f>
        <v/>
      </c>
    </row>
    <row r="198">
      <c r="C198" s="7">
        <v>0.0022685185185185187</v>
      </c>
      <c r="L198" s="5" t="str">
        <f t="array" ref="L198">XLOOKUP(K198,Skills[Action],Skills[Icon],"")</f>
        <v/>
      </c>
      <c r="N198" s="5" t="str">
        <f t="array" ref="N198">XLOOKUP(M198,Skills[Action],Skills[Icon],"")</f>
        <v/>
      </c>
      <c r="P198" s="5" t="str">
        <f t="array" ref="P198">XLOOKUP(O198,Skills[Action],Skills[Icon],"")</f>
        <v/>
      </c>
      <c r="R198" s="5" t="str">
        <f t="array" ref="R198">XLOOKUP(Q198,Skills[Action],Skills[Icon],"")</f>
        <v/>
      </c>
      <c r="T198" s="5" t="str">
        <f t="array" ref="T198">XLOOKUP(S198,Skills[Action],Skills[Icon],"")</f>
        <v/>
      </c>
      <c r="V198" s="5" t="str">
        <f t="array" ref="V198">XLOOKUP(U198,Skills[Action],Skills[Icon],"")</f>
        <v/>
      </c>
    </row>
    <row r="199">
      <c r="C199" s="7">
        <v>0.0022800925925925927</v>
      </c>
      <c r="L199" s="5" t="str">
        <f t="array" ref="L199">XLOOKUP(K199,Skills[Action],Skills[Icon],"")</f>
        <v/>
      </c>
      <c r="N199" s="5" t="str">
        <f t="array" ref="N199">XLOOKUP(M199,Skills[Action],Skills[Icon],"")</f>
        <v/>
      </c>
      <c r="P199" s="5" t="str">
        <f t="array" ref="P199">XLOOKUP(O199,Skills[Action],Skills[Icon],"")</f>
        <v/>
      </c>
      <c r="R199" s="5" t="str">
        <f t="array" ref="R199">XLOOKUP(Q199,Skills[Action],Skills[Icon],"")</f>
        <v/>
      </c>
      <c r="T199" s="5" t="str">
        <f t="array" ref="T199">XLOOKUP(S199,Skills[Action],Skills[Icon],"")</f>
        <v/>
      </c>
      <c r="V199" s="5" t="str">
        <f t="array" ref="V199">XLOOKUP(U199,Skills[Action],Skills[Icon],"")</f>
        <v/>
      </c>
    </row>
    <row r="200">
      <c r="C200" s="7">
        <v>0.0022916666666666667</v>
      </c>
      <c r="L200" s="5" t="str">
        <f t="array" ref="L200">XLOOKUP(K200,Skills[Action],Skills[Icon],"")</f>
        <v/>
      </c>
      <c r="N200" s="5" t="str">
        <f t="array" ref="N200">XLOOKUP(M200,Skills[Action],Skills[Icon],"")</f>
        <v/>
      </c>
      <c r="P200" s="5" t="str">
        <f t="array" ref="P200">XLOOKUP(O200,Skills[Action],Skills[Icon],"")</f>
        <v/>
      </c>
      <c r="R200" s="5" t="str">
        <f t="array" ref="R200">XLOOKUP(Q200,Skills[Action],Skills[Icon],"")</f>
        <v/>
      </c>
      <c r="T200" s="5" t="str">
        <f t="array" ref="T200">XLOOKUP(S200,Skills[Action],Skills[Icon],"")</f>
        <v/>
      </c>
      <c r="V200" s="5" t="str">
        <f t="array" ref="V200">XLOOKUP(U200,Skills[Action],Skills[Icon],"")</f>
        <v/>
      </c>
    </row>
    <row r="201">
      <c r="C201" s="7">
        <v>0.0023032407407407407</v>
      </c>
      <c r="L201" s="5" t="str">
        <f t="array" ref="L201">XLOOKUP(K201,Skills[Action],Skills[Icon],"")</f>
        <v/>
      </c>
      <c r="N201" s="5" t="str">
        <f t="array" ref="N201">XLOOKUP(M201,Skills[Action],Skills[Icon],"")</f>
        <v/>
      </c>
      <c r="P201" s="5" t="str">
        <f t="array" ref="P201">XLOOKUP(O201,Skills[Action],Skills[Icon],"")</f>
        <v/>
      </c>
      <c r="R201" s="5" t="str">
        <f t="array" ref="R201">XLOOKUP(Q201,Skills[Action],Skills[Icon],"")</f>
        <v/>
      </c>
      <c r="T201" s="5" t="str">
        <f t="array" ref="T201">XLOOKUP(S201,Skills[Action],Skills[Icon],"")</f>
        <v/>
      </c>
      <c r="V201" s="5" t="str">
        <f t="array" ref="V201">XLOOKUP(U201,Skills[Action],Skills[Icon],"")</f>
        <v/>
      </c>
    </row>
    <row r="202">
      <c r="C202" s="7">
        <v>0.0023148148148148147</v>
      </c>
      <c r="L202" s="5" t="str">
        <f t="array" ref="L202">XLOOKUP(K202,Skills[Action],Skills[Icon],"")</f>
        <v/>
      </c>
      <c r="N202" s="5" t="str">
        <f t="array" ref="N202">XLOOKUP(M202,Skills[Action],Skills[Icon],"")</f>
        <v/>
      </c>
      <c r="P202" s="5" t="str">
        <f t="array" ref="P202">XLOOKUP(O202,Skills[Action],Skills[Icon],"")</f>
        <v/>
      </c>
      <c r="R202" s="5" t="str">
        <f t="array" ref="R202">XLOOKUP(Q202,Skills[Action],Skills[Icon],"")</f>
        <v/>
      </c>
      <c r="T202" s="5" t="str">
        <f t="array" ref="T202">XLOOKUP(S202,Skills[Action],Skills[Icon],"")</f>
        <v/>
      </c>
      <c r="V202" s="5" t="str">
        <f t="array" ref="V202">XLOOKUP(U202,Skills[Action],Skills[Icon],"")</f>
        <v/>
      </c>
    </row>
    <row r="203">
      <c r="C203" s="7">
        <v>0.0023263888888888887</v>
      </c>
      <c r="L203" s="5" t="str">
        <f t="array" ref="L203">XLOOKUP(K203,Skills[Action],Skills[Icon],"")</f>
        <v/>
      </c>
      <c r="N203" s="5" t="str">
        <f t="array" ref="N203">XLOOKUP(M203,Skills[Action],Skills[Icon],"")</f>
        <v/>
      </c>
      <c r="P203" s="5" t="str">
        <f t="array" ref="P203">XLOOKUP(O203,Skills[Action],Skills[Icon],"")</f>
        <v/>
      </c>
      <c r="R203" s="5" t="str">
        <f t="array" ref="R203">XLOOKUP(Q203,Skills[Action],Skills[Icon],"")</f>
        <v/>
      </c>
      <c r="T203" s="5" t="str">
        <f t="array" ref="T203">XLOOKUP(S203,Skills[Action],Skills[Icon],"")</f>
        <v/>
      </c>
      <c r="V203" s="5" t="str">
        <f t="array" ref="V203">XLOOKUP(U203,Skills[Action],Skills[Icon],"")</f>
        <v/>
      </c>
    </row>
    <row r="204">
      <c r="C204" s="7">
        <v>0.002337962962962963</v>
      </c>
      <c r="L204" s="5" t="str">
        <f t="array" ref="L204">XLOOKUP(K204,Skills[Action],Skills[Icon],"")</f>
        <v/>
      </c>
      <c r="N204" s="5" t="str">
        <f t="array" ref="N204">XLOOKUP(M204,Skills[Action],Skills[Icon],"")</f>
        <v/>
      </c>
      <c r="P204" s="5" t="str">
        <f t="array" ref="P204">XLOOKUP(O204,Skills[Action],Skills[Icon],"")</f>
        <v/>
      </c>
      <c r="R204" s="5" t="str">
        <f t="array" ref="R204">XLOOKUP(Q204,Skills[Action],Skills[Icon],"")</f>
        <v/>
      </c>
      <c r="T204" s="5" t="str">
        <f t="array" ref="T204">XLOOKUP(S204,Skills[Action],Skills[Icon],"")</f>
        <v/>
      </c>
      <c r="V204" s="5" t="str">
        <f t="array" ref="V204">XLOOKUP(U204,Skills[Action],Skills[Icon],"")</f>
        <v/>
      </c>
    </row>
    <row r="205">
      <c r="C205" s="7">
        <v>0.002349537037037037</v>
      </c>
      <c r="L205" s="5" t="str">
        <f t="array" ref="L205">XLOOKUP(K205,Skills[Action],Skills[Icon],"")</f>
        <v/>
      </c>
      <c r="N205" s="5" t="str">
        <f t="array" ref="N205">XLOOKUP(M205,Skills[Action],Skills[Icon],"")</f>
        <v/>
      </c>
      <c r="P205" s="5" t="str">
        <f t="array" ref="P205">XLOOKUP(O205,Skills[Action],Skills[Icon],"")</f>
        <v/>
      </c>
      <c r="R205" s="5" t="str">
        <f t="array" ref="R205">XLOOKUP(Q205,Skills[Action],Skills[Icon],"")</f>
        <v/>
      </c>
      <c r="T205" s="5" t="str">
        <f t="array" ref="T205">XLOOKUP(S205,Skills[Action],Skills[Icon],"")</f>
        <v/>
      </c>
      <c r="V205" s="5" t="str">
        <f t="array" ref="V205">XLOOKUP(U205,Skills[Action],Skills[Icon],"")</f>
        <v/>
      </c>
    </row>
    <row r="206">
      <c r="C206" s="7">
        <v>0.002361111111111111</v>
      </c>
      <c r="L206" s="5" t="str">
        <f t="array" ref="L206">XLOOKUP(K206,Skills[Action],Skills[Icon],"")</f>
        <v/>
      </c>
      <c r="N206" s="5" t="str">
        <f t="array" ref="N206">XLOOKUP(M206,Skills[Action],Skills[Icon],"")</f>
        <v/>
      </c>
      <c r="P206" s="5" t="str">
        <f t="array" ref="P206">XLOOKUP(O206,Skills[Action],Skills[Icon],"")</f>
        <v/>
      </c>
      <c r="R206" s="5" t="str">
        <f t="array" ref="R206">XLOOKUP(Q206,Skills[Action],Skills[Icon],"")</f>
        <v/>
      </c>
      <c r="T206" s="5" t="str">
        <f t="array" ref="T206">XLOOKUP(S206,Skills[Action],Skills[Icon],"")</f>
        <v/>
      </c>
      <c r="V206" s="5" t="str">
        <f t="array" ref="V206">XLOOKUP(U206,Skills[Action],Skills[Icon],"")</f>
        <v/>
      </c>
    </row>
    <row r="207">
      <c r="C207" s="7">
        <v>0.002372685185185185</v>
      </c>
      <c r="L207" s="5" t="str">
        <f t="array" ref="L207">XLOOKUP(K207,Skills[Action],Skills[Icon],"")</f>
        <v/>
      </c>
      <c r="N207" s="5" t="str">
        <f t="array" ref="N207">XLOOKUP(M207,Skills[Action],Skills[Icon],"")</f>
        <v/>
      </c>
      <c r="P207" s="5" t="str">
        <f t="array" ref="P207">XLOOKUP(O207,Skills[Action],Skills[Icon],"")</f>
        <v/>
      </c>
      <c r="R207" s="5" t="str">
        <f t="array" ref="R207">XLOOKUP(Q207,Skills[Action],Skills[Icon],"")</f>
        <v/>
      </c>
      <c r="T207" s="5" t="str">
        <f t="array" ref="T207">XLOOKUP(S207,Skills[Action],Skills[Icon],"")</f>
        <v/>
      </c>
      <c r="V207" s="5" t="str">
        <f t="array" ref="V207">XLOOKUP(U207,Skills[Action],Skills[Icon],"")</f>
        <v/>
      </c>
    </row>
    <row r="208">
      <c r="C208" s="7">
        <v>0.002384259259259259</v>
      </c>
      <c r="L208" s="5" t="str">
        <f t="array" ref="L208">XLOOKUP(K208,Skills[Action],Skills[Icon],"")</f>
        <v/>
      </c>
      <c r="N208" s="5" t="str">
        <f t="array" ref="N208">XLOOKUP(M208,Skills[Action],Skills[Icon],"")</f>
        <v/>
      </c>
      <c r="P208" s="5" t="str">
        <f t="array" ref="P208">XLOOKUP(O208,Skills[Action],Skills[Icon],"")</f>
        <v/>
      </c>
      <c r="R208" s="5" t="str">
        <f t="array" ref="R208">XLOOKUP(Q208,Skills[Action],Skills[Icon],"")</f>
        <v/>
      </c>
      <c r="T208" s="5" t="str">
        <f t="array" ref="T208">XLOOKUP(S208,Skills[Action],Skills[Icon],"")</f>
        <v/>
      </c>
      <c r="V208" s="5" t="str">
        <f t="array" ref="V208">XLOOKUP(U208,Skills[Action],Skills[Icon],"")</f>
        <v/>
      </c>
    </row>
    <row r="209">
      <c r="C209" s="7">
        <v>0.002395833333333333</v>
      </c>
      <c r="L209" s="5" t="str">
        <f t="array" ref="L209">XLOOKUP(K209,Skills[Action],Skills[Icon],"")</f>
        <v/>
      </c>
      <c r="N209" s="5" t="str">
        <f t="array" ref="N209">XLOOKUP(M209,Skills[Action],Skills[Icon],"")</f>
        <v/>
      </c>
      <c r="P209" s="5" t="str">
        <f t="array" ref="P209">XLOOKUP(O209,Skills[Action],Skills[Icon],"")</f>
        <v/>
      </c>
      <c r="R209" s="5" t="str">
        <f t="array" ref="R209">XLOOKUP(Q209,Skills[Action],Skills[Icon],"")</f>
        <v/>
      </c>
      <c r="T209" s="5" t="str">
        <f t="array" ref="T209">XLOOKUP(S209,Skills[Action],Skills[Icon],"")</f>
        <v/>
      </c>
      <c r="V209" s="5" t="str">
        <f t="array" ref="V209">XLOOKUP(U209,Skills[Action],Skills[Icon],"")</f>
        <v/>
      </c>
    </row>
    <row r="210">
      <c r="C210" s="7">
        <v>0.0024074074074074076</v>
      </c>
      <c r="L210" s="5" t="str">
        <f t="array" ref="L210">XLOOKUP(K210,Skills[Action],Skills[Icon],"")</f>
        <v/>
      </c>
      <c r="N210" s="5" t="str">
        <f t="array" ref="N210">XLOOKUP(M210,Skills[Action],Skills[Icon],"")</f>
        <v/>
      </c>
      <c r="P210" s="5" t="str">
        <f t="array" ref="P210">XLOOKUP(O210,Skills[Action],Skills[Icon],"")</f>
        <v/>
      </c>
      <c r="R210" s="5" t="str">
        <f t="array" ref="R210">XLOOKUP(Q210,Skills[Action],Skills[Icon],"")</f>
        <v/>
      </c>
      <c r="T210" s="5" t="str">
        <f t="array" ref="T210">XLOOKUP(S210,Skills[Action],Skills[Icon],"")</f>
        <v/>
      </c>
      <c r="V210" s="5" t="str">
        <f t="array" ref="V210">XLOOKUP(U210,Skills[Action],Skills[Icon],"")</f>
        <v/>
      </c>
    </row>
    <row r="211">
      <c r="C211" s="7">
        <v>0.0024189814814814816</v>
      </c>
      <c r="L211" s="5" t="str">
        <f t="array" ref="L211">XLOOKUP(K211,Skills[Action],Skills[Icon],"")</f>
        <v/>
      </c>
      <c r="N211" s="5" t="str">
        <f t="array" ref="N211">XLOOKUP(M211,Skills[Action],Skills[Icon],"")</f>
        <v/>
      </c>
      <c r="P211" s="5" t="str">
        <f t="array" ref="P211">XLOOKUP(O211,Skills[Action],Skills[Icon],"")</f>
        <v/>
      </c>
      <c r="R211" s="5" t="str">
        <f t="array" ref="R211">XLOOKUP(Q211,Skills[Action],Skills[Icon],"")</f>
        <v/>
      </c>
      <c r="T211" s="5" t="str">
        <f t="array" ref="T211">XLOOKUP(S211,Skills[Action],Skills[Icon],"")</f>
        <v/>
      </c>
      <c r="V211" s="5" t="str">
        <f t="array" ref="V211">XLOOKUP(U211,Skills[Action],Skills[Icon],"")</f>
        <v/>
      </c>
    </row>
    <row r="212">
      <c r="C212" s="7">
        <v>0.0024305555555555556</v>
      </c>
      <c r="L212" s="5" t="str">
        <f t="array" ref="L212">XLOOKUP(K212,Skills[Action],Skills[Icon],"")</f>
        <v/>
      </c>
      <c r="N212" s="5" t="str">
        <f t="array" ref="N212">XLOOKUP(M212,Skills[Action],Skills[Icon],"")</f>
        <v/>
      </c>
      <c r="P212" s="5" t="str">
        <f t="array" ref="P212">XLOOKUP(O212,Skills[Action],Skills[Icon],"")</f>
        <v/>
      </c>
      <c r="R212" s="5" t="str">
        <f t="array" ref="R212">XLOOKUP(Q212,Skills[Action],Skills[Icon],"")</f>
        <v/>
      </c>
      <c r="T212" s="5" t="str">
        <f t="array" ref="T212">XLOOKUP(S212,Skills[Action],Skills[Icon],"")</f>
        <v/>
      </c>
      <c r="V212" s="5" t="str">
        <f t="array" ref="V212">XLOOKUP(U212,Skills[Action],Skills[Icon],"")</f>
        <v/>
      </c>
    </row>
    <row r="213">
      <c r="C213" s="7">
        <v>0.0024421296296296296</v>
      </c>
      <c r="L213" s="5" t="str">
        <f t="array" ref="L213">XLOOKUP(K213,Skills[Action],Skills[Icon],"")</f>
        <v/>
      </c>
      <c r="N213" s="5" t="str">
        <f t="array" ref="N213">XLOOKUP(M213,Skills[Action],Skills[Icon],"")</f>
        <v/>
      </c>
      <c r="P213" s="5" t="str">
        <f t="array" ref="P213">XLOOKUP(O213,Skills[Action],Skills[Icon],"")</f>
        <v/>
      </c>
      <c r="R213" s="5" t="str">
        <f t="array" ref="R213">XLOOKUP(Q213,Skills[Action],Skills[Icon],"")</f>
        <v/>
      </c>
      <c r="T213" s="5" t="str">
        <f t="array" ref="T213">XLOOKUP(S213,Skills[Action],Skills[Icon],"")</f>
        <v/>
      </c>
      <c r="V213" s="5" t="str">
        <f t="array" ref="V213">XLOOKUP(U213,Skills[Action],Skills[Icon],"")</f>
        <v/>
      </c>
    </row>
    <row r="214">
      <c r="C214" s="7">
        <v>0.0024537037037037036</v>
      </c>
      <c r="L214" s="5" t="str">
        <f t="array" ref="L214">XLOOKUP(K214,Skills[Action],Skills[Icon],"")</f>
        <v/>
      </c>
      <c r="N214" s="5" t="str">
        <f t="array" ref="N214">XLOOKUP(M214,Skills[Action],Skills[Icon],"")</f>
        <v/>
      </c>
      <c r="P214" s="5" t="str">
        <f t="array" ref="P214">XLOOKUP(O214,Skills[Action],Skills[Icon],"")</f>
        <v/>
      </c>
      <c r="R214" s="5" t="str">
        <f t="array" ref="R214">XLOOKUP(Q214,Skills[Action],Skills[Icon],"")</f>
        <v/>
      </c>
      <c r="T214" s="5" t="str">
        <f t="array" ref="T214">XLOOKUP(S214,Skills[Action],Skills[Icon],"")</f>
        <v/>
      </c>
      <c r="V214" s="5" t="str">
        <f t="array" ref="V214">XLOOKUP(U214,Skills[Action],Skills[Icon],"")</f>
        <v/>
      </c>
    </row>
    <row r="215">
      <c r="C215" s="7">
        <v>0.0024652777777777776</v>
      </c>
      <c r="L215" s="5" t="str">
        <f t="array" ref="L215">XLOOKUP(K215,Skills[Action],Skills[Icon],"")</f>
        <v/>
      </c>
      <c r="N215" s="5" t="str">
        <f t="array" ref="N215">XLOOKUP(M215,Skills[Action],Skills[Icon],"")</f>
        <v/>
      </c>
      <c r="P215" s="5" t="str">
        <f t="array" ref="P215">XLOOKUP(O215,Skills[Action],Skills[Icon],"")</f>
        <v/>
      </c>
      <c r="R215" s="5" t="str">
        <f t="array" ref="R215">XLOOKUP(Q215,Skills[Action],Skills[Icon],"")</f>
        <v/>
      </c>
      <c r="T215" s="5" t="str">
        <f t="array" ref="T215">XLOOKUP(S215,Skills[Action],Skills[Icon],"")</f>
        <v/>
      </c>
      <c r="V215" s="5" t="str">
        <f t="array" ref="V215">XLOOKUP(U215,Skills[Action],Skills[Icon],"")</f>
        <v/>
      </c>
    </row>
    <row r="216">
      <c r="C216" s="7">
        <v>0.002476851851851852</v>
      </c>
      <c r="L216" s="5" t="str">
        <f t="array" ref="L216">XLOOKUP(K216,Skills[Action],Skills[Icon],"")</f>
        <v/>
      </c>
      <c r="N216" s="5" t="str">
        <f t="array" ref="N216">XLOOKUP(M216,Skills[Action],Skills[Icon],"")</f>
        <v/>
      </c>
      <c r="P216" s="5" t="str">
        <f t="array" ref="P216">XLOOKUP(O216,Skills[Action],Skills[Icon],"")</f>
        <v/>
      </c>
      <c r="R216" s="5" t="str">
        <f t="array" ref="R216">XLOOKUP(Q216,Skills[Action],Skills[Icon],"")</f>
        <v/>
      </c>
      <c r="T216" s="5" t="str">
        <f t="array" ref="T216">XLOOKUP(S216,Skills[Action],Skills[Icon],"")</f>
        <v/>
      </c>
      <c r="V216" s="5" t="str">
        <f t="array" ref="V216">XLOOKUP(U216,Skills[Action],Skills[Icon],"")</f>
        <v/>
      </c>
    </row>
    <row r="217">
      <c r="C217" s="7">
        <v>0.002488425925925926</v>
      </c>
      <c r="L217" s="5" t="str">
        <f t="array" ref="L217">XLOOKUP(K217,Skills[Action],Skills[Icon],"")</f>
        <v/>
      </c>
      <c r="N217" s="5" t="str">
        <f t="array" ref="N217">XLOOKUP(M217,Skills[Action],Skills[Icon],"")</f>
        <v/>
      </c>
      <c r="P217" s="5" t="str">
        <f t="array" ref="P217">XLOOKUP(O217,Skills[Action],Skills[Icon],"")</f>
        <v/>
      </c>
      <c r="R217" s="5" t="str">
        <f t="array" ref="R217">XLOOKUP(Q217,Skills[Action],Skills[Icon],"")</f>
        <v/>
      </c>
      <c r="T217" s="5" t="str">
        <f t="array" ref="T217">XLOOKUP(S217,Skills[Action],Skills[Icon],"")</f>
        <v/>
      </c>
      <c r="V217" s="5" t="str">
        <f t="array" ref="V217">XLOOKUP(U217,Skills[Action],Skills[Icon],"")</f>
        <v/>
      </c>
    </row>
    <row r="218">
      <c r="C218" s="7">
        <v>0.0025</v>
      </c>
      <c r="L218" s="5" t="str">
        <f t="array" ref="L218">XLOOKUP(K218,Skills[Action],Skills[Icon],"")</f>
        <v/>
      </c>
      <c r="N218" s="5" t="str">
        <f t="array" ref="N218">XLOOKUP(M218,Skills[Action],Skills[Icon],"")</f>
        <v/>
      </c>
      <c r="P218" s="5" t="str">
        <f t="array" ref="P218">XLOOKUP(O218,Skills[Action],Skills[Icon],"")</f>
        <v/>
      </c>
      <c r="R218" s="5" t="str">
        <f t="array" ref="R218">XLOOKUP(Q218,Skills[Action],Skills[Icon],"")</f>
        <v/>
      </c>
      <c r="T218" s="5" t="str">
        <f t="array" ref="T218">XLOOKUP(S218,Skills[Action],Skills[Icon],"")</f>
        <v/>
      </c>
      <c r="V218" s="5" t="str">
        <f t="array" ref="V218">XLOOKUP(U218,Skills[Action],Skills[Icon],"")</f>
        <v/>
      </c>
    </row>
    <row r="219">
      <c r="C219" s="7">
        <v>0.002511574074074074</v>
      </c>
      <c r="L219" s="5" t="str">
        <f t="array" ref="L219">XLOOKUP(K219,Skills[Action],Skills[Icon],"")</f>
        <v/>
      </c>
      <c r="N219" s="5" t="str">
        <f t="array" ref="N219">XLOOKUP(M219,Skills[Action],Skills[Icon],"")</f>
        <v/>
      </c>
      <c r="P219" s="5" t="str">
        <f t="array" ref="P219">XLOOKUP(O219,Skills[Action],Skills[Icon],"")</f>
        <v/>
      </c>
      <c r="R219" s="5" t="str">
        <f t="array" ref="R219">XLOOKUP(Q219,Skills[Action],Skills[Icon],"")</f>
        <v/>
      </c>
      <c r="T219" s="5" t="str">
        <f t="array" ref="T219">XLOOKUP(S219,Skills[Action],Skills[Icon],"")</f>
        <v/>
      </c>
      <c r="V219" s="5" t="str">
        <f t="array" ref="V219">XLOOKUP(U219,Skills[Action],Skills[Icon],"")</f>
        <v/>
      </c>
    </row>
    <row r="220">
      <c r="C220" s="7">
        <v>0.002523148148148148</v>
      </c>
      <c r="L220" s="5" t="str">
        <f t="array" ref="L220">XLOOKUP(K220,Skills[Action],Skills[Icon],"")</f>
        <v/>
      </c>
      <c r="N220" s="5" t="str">
        <f t="array" ref="N220">XLOOKUP(M220,Skills[Action],Skills[Icon],"")</f>
        <v/>
      </c>
      <c r="P220" s="5" t="str">
        <f t="array" ref="P220">XLOOKUP(O220,Skills[Action],Skills[Icon],"")</f>
        <v/>
      </c>
      <c r="R220" s="5" t="str">
        <f t="array" ref="R220">XLOOKUP(Q220,Skills[Action],Skills[Icon],"")</f>
        <v/>
      </c>
      <c r="T220" s="5" t="str">
        <f t="array" ref="T220">XLOOKUP(S220,Skills[Action],Skills[Icon],"")</f>
        <v/>
      </c>
      <c r="V220" s="5" t="str">
        <f t="array" ref="V220">XLOOKUP(U220,Skills[Action],Skills[Icon],"")</f>
        <v/>
      </c>
    </row>
    <row r="221">
      <c r="C221" s="7">
        <v>0.002534722222222222</v>
      </c>
      <c r="L221" s="5" t="str">
        <f t="array" ref="L221">XLOOKUP(K221,Skills[Action],Skills[Icon],"")</f>
        <v/>
      </c>
      <c r="N221" s="5" t="str">
        <f t="array" ref="N221">XLOOKUP(M221,Skills[Action],Skills[Icon],"")</f>
        <v/>
      </c>
      <c r="P221" s="5" t="str">
        <f t="array" ref="P221">XLOOKUP(O221,Skills[Action],Skills[Icon],"")</f>
        <v/>
      </c>
      <c r="R221" s="5" t="str">
        <f t="array" ref="R221">XLOOKUP(Q221,Skills[Action],Skills[Icon],"")</f>
        <v/>
      </c>
      <c r="T221" s="5" t="str">
        <f t="array" ref="T221">XLOOKUP(S221,Skills[Action],Skills[Icon],"")</f>
        <v/>
      </c>
      <c r="V221" s="5" t="str">
        <f t="array" ref="V221">XLOOKUP(U221,Skills[Action],Skills[Icon],"")</f>
        <v/>
      </c>
    </row>
    <row r="222">
      <c r="C222" s="7">
        <v>0.0025462962962962965</v>
      </c>
      <c r="L222" s="5" t="str">
        <f t="array" ref="L222">XLOOKUP(K222,Skills[Action],Skills[Icon],"")</f>
        <v/>
      </c>
      <c r="N222" s="5" t="str">
        <f t="array" ref="N222">XLOOKUP(M222,Skills[Action],Skills[Icon],"")</f>
        <v/>
      </c>
      <c r="P222" s="5" t="str">
        <f t="array" ref="P222">XLOOKUP(O222,Skills[Action],Skills[Icon],"")</f>
        <v/>
      </c>
      <c r="R222" s="5" t="str">
        <f t="array" ref="R222">XLOOKUP(Q222,Skills[Action],Skills[Icon],"")</f>
        <v/>
      </c>
      <c r="T222" s="5" t="str">
        <f t="array" ref="T222">XLOOKUP(S222,Skills[Action],Skills[Icon],"")</f>
        <v/>
      </c>
      <c r="V222" s="5" t="str">
        <f t="array" ref="V222">XLOOKUP(U222,Skills[Action],Skills[Icon],"")</f>
        <v/>
      </c>
    </row>
    <row r="223">
      <c r="C223" s="7">
        <v>0.0025578703703703705</v>
      </c>
      <c r="L223" s="5" t="str">
        <f t="array" ref="L223">XLOOKUP(K223,Skills[Action],Skills[Icon],"")</f>
        <v/>
      </c>
      <c r="N223" s="5" t="str">
        <f t="array" ref="N223">XLOOKUP(M223,Skills[Action],Skills[Icon],"")</f>
        <v/>
      </c>
      <c r="P223" s="5" t="str">
        <f t="array" ref="P223">XLOOKUP(O223,Skills[Action],Skills[Icon],"")</f>
        <v/>
      </c>
      <c r="R223" s="5" t="str">
        <f t="array" ref="R223">XLOOKUP(Q223,Skills[Action],Skills[Icon],"")</f>
        <v/>
      </c>
      <c r="T223" s="5" t="str">
        <f t="array" ref="T223">XLOOKUP(S223,Skills[Action],Skills[Icon],"")</f>
        <v/>
      </c>
      <c r="V223" s="5" t="str">
        <f t="array" ref="V223">XLOOKUP(U223,Skills[Action],Skills[Icon],"")</f>
        <v/>
      </c>
    </row>
    <row r="224">
      <c r="C224" s="7">
        <v>0.0025694444444444445</v>
      </c>
      <c r="L224" s="5" t="str">
        <f t="array" ref="L224">XLOOKUP(K224,Skills[Action],Skills[Icon],"")</f>
        <v/>
      </c>
      <c r="N224" s="5" t="str">
        <f t="array" ref="N224">XLOOKUP(M224,Skills[Action],Skills[Icon],"")</f>
        <v/>
      </c>
      <c r="P224" s="5" t="str">
        <f t="array" ref="P224">XLOOKUP(O224,Skills[Action],Skills[Icon],"")</f>
        <v/>
      </c>
      <c r="R224" s="5" t="str">
        <f t="array" ref="R224">XLOOKUP(Q224,Skills[Action],Skills[Icon],"")</f>
        <v/>
      </c>
      <c r="T224" s="5" t="str">
        <f t="array" ref="T224">XLOOKUP(S224,Skills[Action],Skills[Icon],"")</f>
        <v/>
      </c>
      <c r="V224" s="5" t="str">
        <f t="array" ref="V224">XLOOKUP(U224,Skills[Action],Skills[Icon],"")</f>
        <v/>
      </c>
    </row>
    <row r="225">
      <c r="C225" s="7">
        <v>0.0025810185185185185</v>
      </c>
      <c r="L225" s="5" t="str">
        <f t="array" ref="L225">XLOOKUP(K225,Skills[Action],Skills[Icon],"")</f>
        <v/>
      </c>
      <c r="N225" s="5" t="str">
        <f t="array" ref="N225">XLOOKUP(M225,Skills[Action],Skills[Icon],"")</f>
        <v/>
      </c>
      <c r="P225" s="5" t="str">
        <f t="array" ref="P225">XLOOKUP(O225,Skills[Action],Skills[Icon],"")</f>
        <v/>
      </c>
      <c r="R225" s="5" t="str">
        <f t="array" ref="R225">XLOOKUP(Q225,Skills[Action],Skills[Icon],"")</f>
        <v/>
      </c>
      <c r="T225" s="5" t="str">
        <f t="array" ref="T225">XLOOKUP(S225,Skills[Action],Skills[Icon],"")</f>
        <v/>
      </c>
      <c r="V225" s="5" t="str">
        <f t="array" ref="V225">XLOOKUP(U225,Skills[Action],Skills[Icon],"")</f>
        <v/>
      </c>
    </row>
    <row r="226">
      <c r="C226" s="7">
        <v>0.0025925925925925925</v>
      </c>
      <c r="L226" s="5" t="str">
        <f t="array" ref="L226">XLOOKUP(K226,Skills[Action],Skills[Icon],"")</f>
        <v/>
      </c>
      <c r="N226" s="5" t="str">
        <f t="array" ref="N226">XLOOKUP(M226,Skills[Action],Skills[Icon],"")</f>
        <v/>
      </c>
      <c r="P226" s="5" t="str">
        <f t="array" ref="P226">XLOOKUP(O226,Skills[Action],Skills[Icon],"")</f>
        <v/>
      </c>
      <c r="R226" s="5" t="str">
        <f t="array" ref="R226">XLOOKUP(Q226,Skills[Action],Skills[Icon],"")</f>
        <v/>
      </c>
      <c r="T226" s="5" t="str">
        <f t="array" ref="T226">XLOOKUP(S226,Skills[Action],Skills[Icon],"")</f>
        <v/>
      </c>
      <c r="V226" s="5" t="str">
        <f t="array" ref="V226">XLOOKUP(U226,Skills[Action],Skills[Icon],"")</f>
        <v/>
      </c>
    </row>
    <row r="227">
      <c r="C227" s="7">
        <v>0.0026041666666666665</v>
      </c>
      <c r="L227" s="5" t="str">
        <f t="array" ref="L227">XLOOKUP(K227,Skills[Action],Skills[Icon],"")</f>
        <v/>
      </c>
      <c r="N227" s="5" t="str">
        <f t="array" ref="N227">XLOOKUP(M227,Skills[Action],Skills[Icon],"")</f>
        <v/>
      </c>
      <c r="P227" s="5" t="str">
        <f t="array" ref="P227">XLOOKUP(O227,Skills[Action],Skills[Icon],"")</f>
        <v/>
      </c>
      <c r="R227" s="5" t="str">
        <f t="array" ref="R227">XLOOKUP(Q227,Skills[Action],Skills[Icon],"")</f>
        <v/>
      </c>
      <c r="T227" s="5" t="str">
        <f t="array" ref="T227">XLOOKUP(S227,Skills[Action],Skills[Icon],"")</f>
        <v/>
      </c>
      <c r="V227" s="5" t="str">
        <f t="array" ref="V227">XLOOKUP(U227,Skills[Action],Skills[Icon],"")</f>
        <v/>
      </c>
    </row>
    <row r="228">
      <c r="C228" s="7">
        <v>0.0026157407407407405</v>
      </c>
      <c r="L228" s="5" t="str">
        <f t="array" ref="L228">XLOOKUP(K228,Skills[Action],Skills[Icon],"")</f>
        <v/>
      </c>
      <c r="N228" s="5" t="str">
        <f t="array" ref="N228">XLOOKUP(M228,Skills[Action],Skills[Icon],"")</f>
        <v/>
      </c>
      <c r="P228" s="5" t="str">
        <f t="array" ref="P228">XLOOKUP(O228,Skills[Action],Skills[Icon],"")</f>
        <v/>
      </c>
      <c r="R228" s="5" t="str">
        <f t="array" ref="R228">XLOOKUP(Q228,Skills[Action],Skills[Icon],"")</f>
        <v/>
      </c>
      <c r="T228" s="5" t="str">
        <f t="array" ref="T228">XLOOKUP(S228,Skills[Action],Skills[Icon],"")</f>
        <v/>
      </c>
      <c r="V228" s="5" t="str">
        <f t="array" ref="V228">XLOOKUP(U228,Skills[Action],Skills[Icon],"")</f>
        <v/>
      </c>
    </row>
    <row r="229">
      <c r="C229" s="7">
        <v>0.002627314814814815</v>
      </c>
      <c r="L229" s="5" t="str">
        <f t="array" ref="L229">XLOOKUP(K229,Skills[Action],Skills[Icon],"")</f>
        <v/>
      </c>
      <c r="N229" s="5" t="str">
        <f t="array" ref="N229">XLOOKUP(M229,Skills[Action],Skills[Icon],"")</f>
        <v/>
      </c>
      <c r="P229" s="5" t="str">
        <f t="array" ref="P229">XLOOKUP(O229,Skills[Action],Skills[Icon],"")</f>
        <v/>
      </c>
      <c r="R229" s="5" t="str">
        <f t="array" ref="R229">XLOOKUP(Q229,Skills[Action],Skills[Icon],"")</f>
        <v/>
      </c>
      <c r="T229" s="5" t="str">
        <f t="array" ref="T229">XLOOKUP(S229,Skills[Action],Skills[Icon],"")</f>
        <v/>
      </c>
      <c r="V229" s="5" t="str">
        <f t="array" ref="V229">XLOOKUP(U229,Skills[Action],Skills[Icon],"")</f>
        <v/>
      </c>
    </row>
    <row r="230">
      <c r="C230" s="7">
        <v>0.002638888888888889</v>
      </c>
      <c r="L230" s="5" t="str">
        <f t="array" ref="L230">XLOOKUP(K230,Skills[Action],Skills[Icon],"")</f>
        <v/>
      </c>
      <c r="N230" s="5" t="str">
        <f t="array" ref="N230">XLOOKUP(M230,Skills[Action],Skills[Icon],"")</f>
        <v/>
      </c>
      <c r="P230" s="5" t="str">
        <f t="array" ref="P230">XLOOKUP(O230,Skills[Action],Skills[Icon],"")</f>
        <v/>
      </c>
      <c r="R230" s="5" t="str">
        <f t="array" ref="R230">XLOOKUP(Q230,Skills[Action],Skills[Icon],"")</f>
        <v/>
      </c>
      <c r="T230" s="5" t="str">
        <f t="array" ref="T230">XLOOKUP(S230,Skills[Action],Skills[Icon],"")</f>
        <v/>
      </c>
      <c r="V230" s="5" t="str">
        <f t="array" ref="V230">XLOOKUP(U230,Skills[Action],Skills[Icon],"")</f>
        <v/>
      </c>
    </row>
    <row r="231">
      <c r="C231" s="7">
        <v>0.002650462962962963</v>
      </c>
      <c r="L231" s="5" t="str">
        <f t="array" ref="L231">XLOOKUP(K231,Skills[Action],Skills[Icon],"")</f>
        <v/>
      </c>
      <c r="N231" s="5" t="str">
        <f t="array" ref="N231">XLOOKUP(M231,Skills[Action],Skills[Icon],"")</f>
        <v/>
      </c>
      <c r="P231" s="5" t="str">
        <f t="array" ref="P231">XLOOKUP(O231,Skills[Action],Skills[Icon],"")</f>
        <v/>
      </c>
      <c r="R231" s="5" t="str">
        <f t="array" ref="R231">XLOOKUP(Q231,Skills[Action],Skills[Icon],"")</f>
        <v/>
      </c>
      <c r="T231" s="5" t="str">
        <f t="array" ref="T231">XLOOKUP(S231,Skills[Action],Skills[Icon],"")</f>
        <v/>
      </c>
      <c r="V231" s="5" t="str">
        <f t="array" ref="V231">XLOOKUP(U231,Skills[Action],Skills[Icon],"")</f>
        <v/>
      </c>
    </row>
    <row r="232">
      <c r="C232" s="7">
        <v>0.002662037037037037</v>
      </c>
      <c r="L232" s="5" t="str">
        <f t="array" ref="L232">XLOOKUP(K232,Skills[Action],Skills[Icon],"")</f>
        <v/>
      </c>
      <c r="N232" s="5" t="str">
        <f t="array" ref="N232">XLOOKUP(M232,Skills[Action],Skills[Icon],"")</f>
        <v/>
      </c>
      <c r="P232" s="5" t="str">
        <f t="array" ref="P232">XLOOKUP(O232,Skills[Action],Skills[Icon],"")</f>
        <v/>
      </c>
      <c r="R232" s="5" t="str">
        <f t="array" ref="R232">XLOOKUP(Q232,Skills[Action],Skills[Icon],"")</f>
        <v/>
      </c>
      <c r="T232" s="5" t="str">
        <f t="array" ref="T232">XLOOKUP(S232,Skills[Action],Skills[Icon],"")</f>
        <v/>
      </c>
      <c r="V232" s="5" t="str">
        <f t="array" ref="V232">XLOOKUP(U232,Skills[Action],Skills[Icon],"")</f>
        <v/>
      </c>
    </row>
    <row r="233">
      <c r="C233" s="7">
        <v>0.002673611111111111</v>
      </c>
      <c r="L233" s="5" t="str">
        <f t="array" ref="L233">XLOOKUP(K233,Skills[Action],Skills[Icon],"")</f>
        <v/>
      </c>
      <c r="N233" s="5" t="str">
        <f t="array" ref="N233">XLOOKUP(M233,Skills[Action],Skills[Icon],"")</f>
        <v/>
      </c>
      <c r="P233" s="5" t="str">
        <f t="array" ref="P233">XLOOKUP(O233,Skills[Action],Skills[Icon],"")</f>
        <v/>
      </c>
      <c r="R233" s="5" t="str">
        <f t="array" ref="R233">XLOOKUP(Q233,Skills[Action],Skills[Icon],"")</f>
        <v/>
      </c>
      <c r="T233" s="5" t="str">
        <f t="array" ref="T233">XLOOKUP(S233,Skills[Action],Skills[Icon],"")</f>
        <v/>
      </c>
      <c r="V233" s="5" t="str">
        <f t="array" ref="V233">XLOOKUP(U233,Skills[Action],Skills[Icon],"")</f>
        <v/>
      </c>
    </row>
    <row r="234">
      <c r="C234" s="7">
        <v>0.002685185185185185</v>
      </c>
      <c r="L234" s="5" t="str">
        <f t="array" ref="L234">XLOOKUP(K234,Skills[Action],Skills[Icon],"")</f>
        <v/>
      </c>
      <c r="N234" s="5" t="str">
        <f t="array" ref="N234">XLOOKUP(M234,Skills[Action],Skills[Icon],"")</f>
        <v/>
      </c>
      <c r="P234" s="5" t="str">
        <f t="array" ref="P234">XLOOKUP(O234,Skills[Action],Skills[Icon],"")</f>
        <v/>
      </c>
      <c r="R234" s="5" t="str">
        <f t="array" ref="R234">XLOOKUP(Q234,Skills[Action],Skills[Icon],"")</f>
        <v/>
      </c>
      <c r="T234" s="5" t="str">
        <f t="array" ref="T234">XLOOKUP(S234,Skills[Action],Skills[Icon],"")</f>
        <v/>
      </c>
      <c r="V234" s="5" t="str">
        <f t="array" ref="V234">XLOOKUP(U234,Skills[Action],Skills[Icon],"")</f>
        <v/>
      </c>
    </row>
    <row r="235">
      <c r="C235" s="7">
        <v>0.0026967592592592594</v>
      </c>
      <c r="L235" s="5" t="str">
        <f t="array" ref="L235">XLOOKUP(K235,Skills[Action],Skills[Icon],"")</f>
        <v/>
      </c>
      <c r="N235" s="5" t="str">
        <f t="array" ref="N235">XLOOKUP(M235,Skills[Action],Skills[Icon],"")</f>
        <v/>
      </c>
      <c r="P235" s="5" t="str">
        <f t="array" ref="P235">XLOOKUP(O235,Skills[Action],Skills[Icon],"")</f>
        <v/>
      </c>
      <c r="R235" s="5" t="str">
        <f t="array" ref="R235">XLOOKUP(Q235,Skills[Action],Skills[Icon],"")</f>
        <v/>
      </c>
      <c r="T235" s="5" t="str">
        <f t="array" ref="T235">XLOOKUP(S235,Skills[Action],Skills[Icon],"")</f>
        <v/>
      </c>
      <c r="V235" s="5" t="str">
        <f t="array" ref="V235">XLOOKUP(U235,Skills[Action],Skills[Icon],"")</f>
        <v/>
      </c>
    </row>
    <row r="236">
      <c r="C236" s="7">
        <v>0.0027083333333333334</v>
      </c>
      <c r="L236" s="5" t="str">
        <f t="array" ref="L236">XLOOKUP(K236,Skills[Action],Skills[Icon],"")</f>
        <v/>
      </c>
      <c r="N236" s="5" t="str">
        <f t="array" ref="N236">XLOOKUP(M236,Skills[Action],Skills[Icon],"")</f>
        <v/>
      </c>
      <c r="P236" s="5" t="str">
        <f t="array" ref="P236">XLOOKUP(O236,Skills[Action],Skills[Icon],"")</f>
        <v/>
      </c>
      <c r="R236" s="5" t="str">
        <f t="array" ref="R236">XLOOKUP(Q236,Skills[Action],Skills[Icon],"")</f>
        <v/>
      </c>
      <c r="T236" s="5" t="str">
        <f t="array" ref="T236">XLOOKUP(S236,Skills[Action],Skills[Icon],"")</f>
        <v/>
      </c>
      <c r="V236" s="5" t="str">
        <f t="array" ref="V236">XLOOKUP(U236,Skills[Action],Skills[Icon],"")</f>
        <v/>
      </c>
    </row>
    <row r="237">
      <c r="C237" s="7">
        <v>0.0027199074074074074</v>
      </c>
      <c r="L237" s="5" t="str">
        <f t="array" ref="L237">XLOOKUP(K237,Skills[Action],Skills[Icon],"")</f>
        <v/>
      </c>
      <c r="N237" s="5" t="str">
        <f t="array" ref="N237">XLOOKUP(M237,Skills[Action],Skills[Icon],"")</f>
        <v/>
      </c>
      <c r="P237" s="5" t="str">
        <f t="array" ref="P237">XLOOKUP(O237,Skills[Action],Skills[Icon],"")</f>
        <v/>
      </c>
      <c r="R237" s="5" t="str">
        <f t="array" ref="R237">XLOOKUP(Q237,Skills[Action],Skills[Icon],"")</f>
        <v/>
      </c>
      <c r="T237" s="5" t="str">
        <f t="array" ref="T237">XLOOKUP(S237,Skills[Action],Skills[Icon],"")</f>
        <v/>
      </c>
      <c r="V237" s="5" t="str">
        <f t="array" ref="V237">XLOOKUP(U237,Skills[Action],Skills[Icon],"")</f>
        <v/>
      </c>
    </row>
    <row r="238">
      <c r="C238" s="7">
        <v>0.0027314814814814814</v>
      </c>
      <c r="L238" s="5" t="str">
        <f t="array" ref="L238">XLOOKUP(K238,Skills[Action],Skills[Icon],"")</f>
        <v/>
      </c>
      <c r="N238" s="5" t="str">
        <f t="array" ref="N238">XLOOKUP(M238,Skills[Action],Skills[Icon],"")</f>
        <v/>
      </c>
      <c r="P238" s="5" t="str">
        <f t="array" ref="P238">XLOOKUP(O238,Skills[Action],Skills[Icon],"")</f>
        <v/>
      </c>
      <c r="R238" s="5" t="str">
        <f t="array" ref="R238">XLOOKUP(Q238,Skills[Action],Skills[Icon],"")</f>
        <v/>
      </c>
      <c r="T238" s="5" t="str">
        <f t="array" ref="T238">XLOOKUP(S238,Skills[Action],Skills[Icon],"")</f>
        <v/>
      </c>
      <c r="V238" s="5" t="str">
        <f t="array" ref="V238">XLOOKUP(U238,Skills[Action],Skills[Icon],"")</f>
        <v/>
      </c>
    </row>
    <row r="239">
      <c r="C239" s="7">
        <v>0.0027430555555555554</v>
      </c>
      <c r="L239" s="5" t="str">
        <f t="array" ref="L239">XLOOKUP(K239,Skills[Action],Skills[Icon],"")</f>
        <v/>
      </c>
      <c r="N239" s="5" t="str">
        <f t="array" ref="N239">XLOOKUP(M239,Skills[Action],Skills[Icon],"")</f>
        <v/>
      </c>
      <c r="P239" s="5" t="str">
        <f t="array" ref="P239">XLOOKUP(O239,Skills[Action],Skills[Icon],"")</f>
        <v/>
      </c>
      <c r="R239" s="5" t="str">
        <f t="array" ref="R239">XLOOKUP(Q239,Skills[Action],Skills[Icon],"")</f>
        <v/>
      </c>
      <c r="T239" s="5" t="str">
        <f t="array" ref="T239">XLOOKUP(S239,Skills[Action],Skills[Icon],"")</f>
        <v/>
      </c>
      <c r="V239" s="5" t="str">
        <f t="array" ref="V239">XLOOKUP(U239,Skills[Action],Skills[Icon],"")</f>
        <v/>
      </c>
    </row>
    <row r="240">
      <c r="C240" s="7">
        <v>0.0027546296296296294</v>
      </c>
      <c r="L240" s="5" t="str">
        <f t="array" ref="L240">XLOOKUP(K240,Skills[Action],Skills[Icon],"")</f>
        <v/>
      </c>
      <c r="N240" s="5" t="str">
        <f t="array" ref="N240">XLOOKUP(M240,Skills[Action],Skills[Icon],"")</f>
        <v/>
      </c>
      <c r="P240" s="5" t="str">
        <f t="array" ref="P240">XLOOKUP(O240,Skills[Action],Skills[Icon],"")</f>
        <v/>
      </c>
      <c r="R240" s="5" t="str">
        <f t="array" ref="R240">XLOOKUP(Q240,Skills[Action],Skills[Icon],"")</f>
        <v/>
      </c>
      <c r="T240" s="5" t="str">
        <f t="array" ref="T240">XLOOKUP(S240,Skills[Action],Skills[Icon],"")</f>
        <v/>
      </c>
      <c r="V240" s="5" t="str">
        <f t="array" ref="V240">XLOOKUP(U240,Skills[Action],Skills[Icon],"")</f>
        <v/>
      </c>
    </row>
    <row r="241">
      <c r="C241" s="7">
        <v>0.002766203703703704</v>
      </c>
      <c r="L241" s="5" t="str">
        <f t="array" ref="L241">XLOOKUP(K241,Skills[Action],Skills[Icon],"")</f>
        <v/>
      </c>
      <c r="N241" s="5" t="str">
        <f t="array" ref="N241">XLOOKUP(M241,Skills[Action],Skills[Icon],"")</f>
        <v/>
      </c>
      <c r="P241" s="5" t="str">
        <f t="array" ref="P241">XLOOKUP(O241,Skills[Action],Skills[Icon],"")</f>
        <v/>
      </c>
      <c r="R241" s="5" t="str">
        <f t="array" ref="R241">XLOOKUP(Q241,Skills[Action],Skills[Icon],"")</f>
        <v/>
      </c>
      <c r="T241" s="5" t="str">
        <f t="array" ref="T241">XLOOKUP(S241,Skills[Action],Skills[Icon],"")</f>
        <v/>
      </c>
      <c r="V241" s="5" t="str">
        <f t="array" ref="V241">XLOOKUP(U241,Skills[Action],Skills[Icon],"")</f>
        <v/>
      </c>
    </row>
    <row r="242">
      <c r="C242" s="7">
        <v>0.002777777777777778</v>
      </c>
      <c r="L242" s="5" t="str">
        <f t="array" ref="L242">XLOOKUP(K242,Skills[Action],Skills[Icon],"")</f>
        <v/>
      </c>
      <c r="N242" s="5" t="str">
        <f t="array" ref="N242">XLOOKUP(M242,Skills[Action],Skills[Icon],"")</f>
        <v/>
      </c>
      <c r="P242" s="5" t="str">
        <f t="array" ref="P242">XLOOKUP(O242,Skills[Action],Skills[Icon],"")</f>
        <v/>
      </c>
      <c r="R242" s="5" t="str">
        <f t="array" ref="R242">XLOOKUP(Q242,Skills[Action],Skills[Icon],"")</f>
        <v/>
      </c>
      <c r="T242" s="5" t="str">
        <f t="array" ref="T242">XLOOKUP(S242,Skills[Action],Skills[Icon],"")</f>
        <v/>
      </c>
      <c r="V242" s="5" t="str">
        <f t="array" ref="V242">XLOOKUP(U242,Skills[Action],Skills[Icon],"")</f>
        <v/>
      </c>
    </row>
    <row r="243">
      <c r="C243" s="7">
        <v>0.002789351851851852</v>
      </c>
      <c r="L243" s="5" t="str">
        <f t="array" ref="L243">XLOOKUP(K243,Skills[Action],Skills[Icon],"")</f>
        <v/>
      </c>
      <c r="N243" s="5" t="str">
        <f t="array" ref="N243">XLOOKUP(M243,Skills[Action],Skills[Icon],"")</f>
        <v/>
      </c>
      <c r="P243" s="5" t="str">
        <f t="array" ref="P243">XLOOKUP(O243,Skills[Action],Skills[Icon],"")</f>
        <v/>
      </c>
      <c r="R243" s="5" t="str">
        <f t="array" ref="R243">XLOOKUP(Q243,Skills[Action],Skills[Icon],"")</f>
        <v/>
      </c>
      <c r="T243" s="5" t="str">
        <f t="array" ref="T243">XLOOKUP(S243,Skills[Action],Skills[Icon],"")</f>
        <v/>
      </c>
      <c r="V243" s="5" t="str">
        <f t="array" ref="V243">XLOOKUP(U243,Skills[Action],Skills[Icon],"")</f>
        <v/>
      </c>
    </row>
    <row r="244">
      <c r="C244" s="7">
        <v>0.002800925925925926</v>
      </c>
      <c r="L244" s="5" t="str">
        <f t="array" ref="L244">XLOOKUP(K244,Skills[Action],Skills[Icon],"")</f>
        <v/>
      </c>
      <c r="N244" s="5" t="str">
        <f t="array" ref="N244">XLOOKUP(M244,Skills[Action],Skills[Icon],"")</f>
        <v/>
      </c>
      <c r="P244" s="5" t="str">
        <f t="array" ref="P244">XLOOKUP(O244,Skills[Action],Skills[Icon],"")</f>
        <v/>
      </c>
      <c r="R244" s="5" t="str">
        <f t="array" ref="R244">XLOOKUP(Q244,Skills[Action],Skills[Icon],"")</f>
        <v/>
      </c>
      <c r="T244" s="5" t="str">
        <f t="array" ref="T244">XLOOKUP(S244,Skills[Action],Skills[Icon],"")</f>
        <v/>
      </c>
      <c r="V244" s="5" t="str">
        <f t="array" ref="V244">XLOOKUP(U244,Skills[Action],Skills[Icon],"")</f>
        <v/>
      </c>
    </row>
    <row r="245">
      <c r="C245" s="7">
        <v>0.0028125</v>
      </c>
      <c r="L245" s="5" t="str">
        <f t="array" ref="L245">XLOOKUP(K245,Skills[Action],Skills[Icon],"")</f>
        <v/>
      </c>
      <c r="N245" s="5" t="str">
        <f t="array" ref="N245">XLOOKUP(M245,Skills[Action],Skills[Icon],"")</f>
        <v/>
      </c>
      <c r="P245" s="5" t="str">
        <f t="array" ref="P245">XLOOKUP(O245,Skills[Action],Skills[Icon],"")</f>
        <v/>
      </c>
      <c r="R245" s="5" t="str">
        <f t="array" ref="R245">XLOOKUP(Q245,Skills[Action],Skills[Icon],"")</f>
        <v/>
      </c>
      <c r="T245" s="5" t="str">
        <f t="array" ref="T245">XLOOKUP(S245,Skills[Action],Skills[Icon],"")</f>
        <v/>
      </c>
      <c r="V245" s="5" t="str">
        <f t="array" ref="V245">XLOOKUP(U245,Skills[Action],Skills[Icon],"")</f>
        <v/>
      </c>
    </row>
    <row r="246">
      <c r="C246" s="7">
        <v>0.002824074074074074</v>
      </c>
      <c r="L246" s="5" t="str">
        <f t="array" ref="L246">XLOOKUP(K246,Skills[Action],Skills[Icon],"")</f>
        <v/>
      </c>
      <c r="N246" s="5" t="str">
        <f t="array" ref="N246">XLOOKUP(M246,Skills[Action],Skills[Icon],"")</f>
        <v/>
      </c>
      <c r="P246" s="5" t="str">
        <f t="array" ref="P246">XLOOKUP(O246,Skills[Action],Skills[Icon],"")</f>
        <v/>
      </c>
      <c r="R246" s="5" t="str">
        <f t="array" ref="R246">XLOOKUP(Q246,Skills[Action],Skills[Icon],"")</f>
        <v/>
      </c>
      <c r="T246" s="5" t="str">
        <f t="array" ref="T246">XLOOKUP(S246,Skills[Action],Skills[Icon],"")</f>
        <v/>
      </c>
      <c r="V246" s="5" t="str">
        <f t="array" ref="V246">XLOOKUP(U246,Skills[Action],Skills[Icon],"")</f>
        <v/>
      </c>
    </row>
    <row r="247">
      <c r="C247" s="7">
        <v>0.0028356481481481483</v>
      </c>
      <c r="L247" s="5" t="str">
        <f t="array" ref="L247">XLOOKUP(K247,Skills[Action],Skills[Icon],"")</f>
        <v/>
      </c>
      <c r="N247" s="5" t="str">
        <f t="array" ref="N247">XLOOKUP(M247,Skills[Action],Skills[Icon],"")</f>
        <v/>
      </c>
      <c r="P247" s="5" t="str">
        <f t="array" ref="P247">XLOOKUP(O247,Skills[Action],Skills[Icon],"")</f>
        <v/>
      </c>
      <c r="R247" s="5" t="str">
        <f t="array" ref="R247">XLOOKUP(Q247,Skills[Action],Skills[Icon],"")</f>
        <v/>
      </c>
      <c r="T247" s="5" t="str">
        <f t="array" ref="T247">XLOOKUP(S247,Skills[Action],Skills[Icon],"")</f>
        <v/>
      </c>
      <c r="V247" s="5" t="str">
        <f t="array" ref="V247">XLOOKUP(U247,Skills[Action],Skills[Icon],"")</f>
        <v/>
      </c>
    </row>
    <row r="248">
      <c r="C248" s="7">
        <v>0.0028472222222222223</v>
      </c>
      <c r="L248" s="5" t="str">
        <f t="array" ref="L248">XLOOKUP(K248,Skills[Action],Skills[Icon],"")</f>
        <v/>
      </c>
      <c r="N248" s="5" t="str">
        <f t="array" ref="N248">XLOOKUP(M248,Skills[Action],Skills[Icon],"")</f>
        <v/>
      </c>
      <c r="P248" s="5" t="str">
        <f t="array" ref="P248">XLOOKUP(O248,Skills[Action],Skills[Icon],"")</f>
        <v/>
      </c>
      <c r="R248" s="5" t="str">
        <f t="array" ref="R248">XLOOKUP(Q248,Skills[Action],Skills[Icon],"")</f>
        <v/>
      </c>
      <c r="T248" s="5" t="str">
        <f t="array" ref="T248">XLOOKUP(S248,Skills[Action],Skills[Icon],"")</f>
        <v/>
      </c>
      <c r="V248" s="5" t="str">
        <f t="array" ref="V248">XLOOKUP(U248,Skills[Action],Skills[Icon],"")</f>
        <v/>
      </c>
    </row>
    <row r="249">
      <c r="C249" s="7">
        <v>0.0028587962962962963</v>
      </c>
      <c r="L249" s="5" t="str">
        <f t="array" ref="L249">XLOOKUP(K249,Skills[Action],Skills[Icon],"")</f>
        <v/>
      </c>
      <c r="N249" s="5" t="str">
        <f t="array" ref="N249">XLOOKUP(M249,Skills[Action],Skills[Icon],"")</f>
        <v/>
      </c>
      <c r="P249" s="5" t="str">
        <f t="array" ref="P249">XLOOKUP(O249,Skills[Action],Skills[Icon],"")</f>
        <v/>
      </c>
      <c r="R249" s="5" t="str">
        <f t="array" ref="R249">XLOOKUP(Q249,Skills[Action],Skills[Icon],"")</f>
        <v/>
      </c>
      <c r="T249" s="5" t="str">
        <f t="array" ref="T249">XLOOKUP(S249,Skills[Action],Skills[Icon],"")</f>
        <v/>
      </c>
      <c r="V249" s="5" t="str">
        <f t="array" ref="V249">XLOOKUP(U249,Skills[Action],Skills[Icon],"")</f>
        <v/>
      </c>
    </row>
    <row r="250">
      <c r="C250" s="7">
        <v>0.0028703703703703703</v>
      </c>
      <c r="L250" s="5" t="str">
        <f t="array" ref="L250">XLOOKUP(K250,Skills[Action],Skills[Icon],"")</f>
        <v/>
      </c>
      <c r="N250" s="5" t="str">
        <f t="array" ref="N250">XLOOKUP(M250,Skills[Action],Skills[Icon],"")</f>
        <v/>
      </c>
      <c r="P250" s="5" t="str">
        <f t="array" ref="P250">XLOOKUP(O250,Skills[Action],Skills[Icon],"")</f>
        <v/>
      </c>
      <c r="R250" s="5" t="str">
        <f t="array" ref="R250">XLOOKUP(Q250,Skills[Action],Skills[Icon],"")</f>
        <v/>
      </c>
      <c r="T250" s="5" t="str">
        <f t="array" ref="T250">XLOOKUP(S250,Skills[Action],Skills[Icon],"")</f>
        <v/>
      </c>
      <c r="V250" s="5" t="str">
        <f t="array" ref="V250">XLOOKUP(U250,Skills[Action],Skills[Icon],"")</f>
        <v/>
      </c>
    </row>
    <row r="251">
      <c r="C251" s="7">
        <v>0.0028819444444444444</v>
      </c>
      <c r="L251" s="5" t="str">
        <f t="array" ref="L251">XLOOKUP(K251,Skills[Action],Skills[Icon],"")</f>
        <v/>
      </c>
      <c r="N251" s="5" t="str">
        <f t="array" ref="N251">XLOOKUP(M251,Skills[Action],Skills[Icon],"")</f>
        <v/>
      </c>
      <c r="P251" s="5" t="str">
        <f t="array" ref="P251">XLOOKUP(O251,Skills[Action],Skills[Icon],"")</f>
        <v/>
      </c>
      <c r="R251" s="5" t="str">
        <f t="array" ref="R251">XLOOKUP(Q251,Skills[Action],Skills[Icon],"")</f>
        <v/>
      </c>
      <c r="T251" s="5" t="str">
        <f t="array" ref="T251">XLOOKUP(S251,Skills[Action],Skills[Icon],"")</f>
        <v/>
      </c>
      <c r="V251" s="5" t="str">
        <f t="array" ref="V251">XLOOKUP(U251,Skills[Action],Skills[Icon],"")</f>
        <v/>
      </c>
    </row>
    <row r="252">
      <c r="C252" s="7">
        <v>0.0028935185185185184</v>
      </c>
      <c r="L252" s="5" t="str">
        <f t="array" ref="L252">XLOOKUP(K252,Skills[Action],Skills[Icon],"")</f>
        <v/>
      </c>
      <c r="N252" s="5" t="str">
        <f t="array" ref="N252">XLOOKUP(M252,Skills[Action],Skills[Icon],"")</f>
        <v/>
      </c>
      <c r="P252" s="5" t="str">
        <f t="array" ref="P252">XLOOKUP(O252,Skills[Action],Skills[Icon],"")</f>
        <v/>
      </c>
      <c r="R252" s="5" t="str">
        <f t="array" ref="R252">XLOOKUP(Q252,Skills[Action],Skills[Icon],"")</f>
        <v/>
      </c>
      <c r="T252" s="5" t="str">
        <f t="array" ref="T252">XLOOKUP(S252,Skills[Action],Skills[Icon],"")</f>
        <v/>
      </c>
      <c r="V252" s="5" t="str">
        <f t="array" ref="V252">XLOOKUP(U252,Skills[Action],Skills[Icon],"")</f>
        <v/>
      </c>
    </row>
    <row r="253">
      <c r="C253" s="7">
        <v>0.002905092592592593</v>
      </c>
      <c r="L253" s="5" t="str">
        <f t="array" ref="L253">XLOOKUP(K253,Skills[Action],Skills[Icon],"")</f>
        <v/>
      </c>
      <c r="N253" s="5" t="str">
        <f t="array" ref="N253">XLOOKUP(M253,Skills[Action],Skills[Icon],"")</f>
        <v/>
      </c>
      <c r="P253" s="5" t="str">
        <f t="array" ref="P253">XLOOKUP(O253,Skills[Action],Skills[Icon],"")</f>
        <v/>
      </c>
      <c r="R253" s="5" t="str">
        <f t="array" ref="R253">XLOOKUP(Q253,Skills[Action],Skills[Icon],"")</f>
        <v/>
      </c>
      <c r="T253" s="5" t="str">
        <f t="array" ref="T253">XLOOKUP(S253,Skills[Action],Skills[Icon],"")</f>
        <v/>
      </c>
      <c r="V253" s="5" t="str">
        <f t="array" ref="V253">XLOOKUP(U253,Skills[Action],Skills[Icon],"")</f>
        <v/>
      </c>
    </row>
    <row r="254">
      <c r="C254" s="7">
        <v>0.002916666666666667</v>
      </c>
      <c r="L254" s="5" t="str">
        <f t="array" ref="L254">XLOOKUP(K254,Skills[Action],Skills[Icon],"")</f>
        <v/>
      </c>
      <c r="N254" s="5" t="str">
        <f t="array" ref="N254">XLOOKUP(M254,Skills[Action],Skills[Icon],"")</f>
        <v/>
      </c>
      <c r="P254" s="5" t="str">
        <f t="array" ref="P254">XLOOKUP(O254,Skills[Action],Skills[Icon],"")</f>
        <v/>
      </c>
      <c r="R254" s="5" t="str">
        <f t="array" ref="R254">XLOOKUP(Q254,Skills[Action],Skills[Icon],"")</f>
        <v/>
      </c>
      <c r="T254" s="5" t="str">
        <f t="array" ref="T254">XLOOKUP(S254,Skills[Action],Skills[Icon],"")</f>
        <v/>
      </c>
      <c r="V254" s="5" t="str">
        <f t="array" ref="V254">XLOOKUP(U254,Skills[Action],Skills[Icon],"")</f>
        <v/>
      </c>
    </row>
    <row r="255">
      <c r="C255" s="7">
        <v>0.002928240740740741</v>
      </c>
      <c r="L255" s="5" t="str">
        <f t="array" ref="L255">XLOOKUP(K255,Skills[Action],Skills[Icon],"")</f>
        <v/>
      </c>
      <c r="N255" s="5" t="str">
        <f t="array" ref="N255">XLOOKUP(M255,Skills[Action],Skills[Icon],"")</f>
        <v/>
      </c>
      <c r="P255" s="5" t="str">
        <f t="array" ref="P255">XLOOKUP(O255,Skills[Action],Skills[Icon],"")</f>
        <v/>
      </c>
      <c r="R255" s="5" t="str">
        <f t="array" ref="R255">XLOOKUP(Q255,Skills[Action],Skills[Icon],"")</f>
        <v/>
      </c>
      <c r="T255" s="5" t="str">
        <f t="array" ref="T255">XLOOKUP(S255,Skills[Action],Skills[Icon],"")</f>
        <v/>
      </c>
      <c r="V255" s="5" t="str">
        <f t="array" ref="V255">XLOOKUP(U255,Skills[Action],Skills[Icon],"")</f>
        <v/>
      </c>
    </row>
    <row r="256">
      <c r="C256" s="7">
        <v>0.002939814814814815</v>
      </c>
      <c r="L256" s="5" t="str">
        <f t="array" ref="L256">XLOOKUP(K256,Skills[Action],Skills[Icon],"")</f>
        <v/>
      </c>
      <c r="N256" s="5" t="str">
        <f t="array" ref="N256">XLOOKUP(M256,Skills[Action],Skills[Icon],"")</f>
        <v/>
      </c>
      <c r="P256" s="5" t="str">
        <f t="array" ref="P256">XLOOKUP(O256,Skills[Action],Skills[Icon],"")</f>
        <v/>
      </c>
      <c r="R256" s="5" t="str">
        <f t="array" ref="R256">XLOOKUP(Q256,Skills[Action],Skills[Icon],"")</f>
        <v/>
      </c>
      <c r="T256" s="5" t="str">
        <f t="array" ref="T256">XLOOKUP(S256,Skills[Action],Skills[Icon],"")</f>
        <v/>
      </c>
      <c r="V256" s="5" t="str">
        <f t="array" ref="V256">XLOOKUP(U256,Skills[Action],Skills[Icon],"")</f>
        <v/>
      </c>
    </row>
    <row r="257">
      <c r="C257" s="7">
        <v>0.002951388888888889</v>
      </c>
      <c r="L257" s="5" t="str">
        <f t="array" ref="L257">XLOOKUP(K257,Skills[Action],Skills[Icon],"")</f>
        <v/>
      </c>
      <c r="N257" s="5" t="str">
        <f t="array" ref="N257">XLOOKUP(M257,Skills[Action],Skills[Icon],"")</f>
        <v/>
      </c>
      <c r="P257" s="5" t="str">
        <f t="array" ref="P257">XLOOKUP(O257,Skills[Action],Skills[Icon],"")</f>
        <v/>
      </c>
      <c r="R257" s="5" t="str">
        <f t="array" ref="R257">XLOOKUP(Q257,Skills[Action],Skills[Icon],"")</f>
        <v/>
      </c>
      <c r="T257" s="5" t="str">
        <f t="array" ref="T257">XLOOKUP(S257,Skills[Action],Skills[Icon],"")</f>
        <v/>
      </c>
      <c r="V257" s="5" t="str">
        <f t="array" ref="V257">XLOOKUP(U257,Skills[Action],Skills[Icon],"")</f>
        <v/>
      </c>
    </row>
    <row r="258">
      <c r="C258" s="7">
        <v>0.002962962962962963</v>
      </c>
      <c r="L258" s="5" t="str">
        <f t="array" ref="L258">XLOOKUP(K258,Skills[Action],Skills[Icon],"")</f>
        <v/>
      </c>
      <c r="N258" s="5" t="str">
        <f t="array" ref="N258">XLOOKUP(M258,Skills[Action],Skills[Icon],"")</f>
        <v/>
      </c>
      <c r="P258" s="5" t="str">
        <f t="array" ref="P258">XLOOKUP(O258,Skills[Action],Skills[Icon],"")</f>
        <v/>
      </c>
      <c r="R258" s="5" t="str">
        <f t="array" ref="R258">XLOOKUP(Q258,Skills[Action],Skills[Icon],"")</f>
        <v/>
      </c>
      <c r="T258" s="5" t="str">
        <f t="array" ref="T258">XLOOKUP(S258,Skills[Action],Skills[Icon],"")</f>
        <v/>
      </c>
      <c r="V258" s="5" t="str">
        <f t="array" ref="V258">XLOOKUP(U258,Skills[Action],Skills[Icon],"")</f>
        <v/>
      </c>
    </row>
    <row r="259">
      <c r="C259" s="7">
        <v>0.0029745370370370373</v>
      </c>
      <c r="L259" s="5" t="str">
        <f t="array" ref="L259">XLOOKUP(K259,Skills[Action],Skills[Icon],"")</f>
        <v/>
      </c>
      <c r="N259" s="5" t="str">
        <f t="array" ref="N259">XLOOKUP(M259,Skills[Action],Skills[Icon],"")</f>
        <v/>
      </c>
      <c r="P259" s="5" t="str">
        <f t="array" ref="P259">XLOOKUP(O259,Skills[Action],Skills[Icon],"")</f>
        <v/>
      </c>
      <c r="R259" s="5" t="str">
        <f t="array" ref="R259">XLOOKUP(Q259,Skills[Action],Skills[Icon],"")</f>
        <v/>
      </c>
      <c r="T259" s="5" t="str">
        <f t="array" ref="T259">XLOOKUP(S259,Skills[Action],Skills[Icon],"")</f>
        <v/>
      </c>
      <c r="V259" s="5" t="str">
        <f t="array" ref="V259">XLOOKUP(U259,Skills[Action],Skills[Icon],"")</f>
        <v/>
      </c>
    </row>
    <row r="260">
      <c r="C260" s="7">
        <v>0.0029861111111111113</v>
      </c>
      <c r="L260" s="5" t="str">
        <f t="array" ref="L260">XLOOKUP(K260,Skills[Action],Skills[Icon],"")</f>
        <v/>
      </c>
      <c r="N260" s="5" t="str">
        <f t="array" ref="N260">XLOOKUP(M260,Skills[Action],Skills[Icon],"")</f>
        <v/>
      </c>
      <c r="P260" s="5" t="str">
        <f t="array" ref="P260">XLOOKUP(O260,Skills[Action],Skills[Icon],"")</f>
        <v/>
      </c>
      <c r="R260" s="5" t="str">
        <f t="array" ref="R260">XLOOKUP(Q260,Skills[Action],Skills[Icon],"")</f>
        <v/>
      </c>
      <c r="T260" s="5" t="str">
        <f t="array" ref="T260">XLOOKUP(S260,Skills[Action],Skills[Icon],"")</f>
        <v/>
      </c>
      <c r="V260" s="5" t="str">
        <f t="array" ref="V260">XLOOKUP(U260,Skills[Action],Skills[Icon],"")</f>
        <v/>
      </c>
    </row>
    <row r="261">
      <c r="C261" s="7">
        <v>0.0029976851851851853</v>
      </c>
      <c r="L261" s="5" t="str">
        <f t="array" ref="L261">XLOOKUP(K261,Skills[Action],Skills[Icon],"")</f>
        <v/>
      </c>
      <c r="N261" s="5" t="str">
        <f t="array" ref="N261">XLOOKUP(M261,Skills[Action],Skills[Icon],"")</f>
        <v/>
      </c>
      <c r="P261" s="5" t="str">
        <f t="array" ref="P261">XLOOKUP(O261,Skills[Action],Skills[Icon],"")</f>
        <v/>
      </c>
      <c r="R261" s="5" t="str">
        <f t="array" ref="R261">XLOOKUP(Q261,Skills[Action],Skills[Icon],"")</f>
        <v/>
      </c>
      <c r="T261" s="5" t="str">
        <f t="array" ref="T261">XLOOKUP(S261,Skills[Action],Skills[Icon],"")</f>
        <v/>
      </c>
      <c r="V261" s="5" t="str">
        <f t="array" ref="V261">XLOOKUP(U261,Skills[Action],Skills[Icon],"")</f>
        <v/>
      </c>
    </row>
    <row r="262">
      <c r="C262" s="7">
        <v>0.0030092592592592593</v>
      </c>
      <c r="L262" s="5" t="str">
        <f t="array" ref="L262">XLOOKUP(K262,Skills[Action],Skills[Icon],"")</f>
        <v/>
      </c>
      <c r="N262" s="5" t="str">
        <f t="array" ref="N262">XLOOKUP(M262,Skills[Action],Skills[Icon],"")</f>
        <v/>
      </c>
      <c r="P262" s="5" t="str">
        <f t="array" ref="P262">XLOOKUP(O262,Skills[Action],Skills[Icon],"")</f>
        <v/>
      </c>
      <c r="R262" s="5" t="str">
        <f t="array" ref="R262">XLOOKUP(Q262,Skills[Action],Skills[Icon],"")</f>
        <v/>
      </c>
      <c r="T262" s="5" t="str">
        <f t="array" ref="T262">XLOOKUP(S262,Skills[Action],Skills[Icon],"")</f>
        <v/>
      </c>
      <c r="V262" s="5" t="str">
        <f t="array" ref="V262">XLOOKUP(U262,Skills[Action],Skills[Icon],"")</f>
        <v/>
      </c>
    </row>
    <row r="263">
      <c r="C263" s="7">
        <v>0.0030208333333333333</v>
      </c>
      <c r="L263" s="5" t="str">
        <f t="array" ref="L263">XLOOKUP(K263,Skills[Action],Skills[Icon],"")</f>
        <v/>
      </c>
      <c r="N263" s="5" t="str">
        <f t="array" ref="N263">XLOOKUP(M263,Skills[Action],Skills[Icon],"")</f>
        <v/>
      </c>
      <c r="P263" s="5" t="str">
        <f t="array" ref="P263">XLOOKUP(O263,Skills[Action],Skills[Icon],"")</f>
        <v/>
      </c>
      <c r="R263" s="5" t="str">
        <f t="array" ref="R263">XLOOKUP(Q263,Skills[Action],Skills[Icon],"")</f>
        <v/>
      </c>
      <c r="T263" s="5" t="str">
        <f t="array" ref="T263">XLOOKUP(S263,Skills[Action],Skills[Icon],"")</f>
        <v/>
      </c>
      <c r="V263" s="5" t="str">
        <f t="array" ref="V263">XLOOKUP(U263,Skills[Action],Skills[Icon],"")</f>
        <v/>
      </c>
    </row>
    <row r="264">
      <c r="C264" s="7">
        <v>0.0030324074074074073</v>
      </c>
      <c r="L264" s="5" t="str">
        <f t="array" ref="L264">XLOOKUP(K264,Skills[Action],Skills[Icon],"")</f>
        <v/>
      </c>
      <c r="N264" s="5" t="str">
        <f t="array" ref="N264">XLOOKUP(M264,Skills[Action],Skills[Icon],"")</f>
        <v/>
      </c>
      <c r="P264" s="5" t="str">
        <f t="array" ref="P264">XLOOKUP(O264,Skills[Action],Skills[Icon],"")</f>
        <v/>
      </c>
      <c r="R264" s="5" t="str">
        <f t="array" ref="R264">XLOOKUP(Q264,Skills[Action],Skills[Icon],"")</f>
        <v/>
      </c>
      <c r="T264" s="5" t="str">
        <f t="array" ref="T264">XLOOKUP(S264,Skills[Action],Skills[Icon],"")</f>
        <v/>
      </c>
      <c r="V264" s="5" t="str">
        <f t="array" ref="V264">XLOOKUP(U264,Skills[Action],Skills[Icon],"")</f>
        <v/>
      </c>
    </row>
    <row r="265">
      <c r="C265" s="7">
        <v>0.0030439814814814813</v>
      </c>
      <c r="L265" s="5" t="str">
        <f t="array" ref="L265">XLOOKUP(K265,Skills[Action],Skills[Icon],"")</f>
        <v/>
      </c>
      <c r="N265" s="5" t="str">
        <f t="array" ref="N265">XLOOKUP(M265,Skills[Action],Skills[Icon],"")</f>
        <v/>
      </c>
      <c r="P265" s="5" t="str">
        <f t="array" ref="P265">XLOOKUP(O265,Skills[Action],Skills[Icon],"")</f>
        <v/>
      </c>
      <c r="R265" s="5" t="str">
        <f t="array" ref="R265">XLOOKUP(Q265,Skills[Action],Skills[Icon],"")</f>
        <v/>
      </c>
      <c r="T265" s="5" t="str">
        <f t="array" ref="T265">XLOOKUP(S265,Skills[Action],Skills[Icon],"")</f>
        <v/>
      </c>
      <c r="V265" s="5" t="str">
        <f t="array" ref="V265">XLOOKUP(U265,Skills[Action],Skills[Icon],"")</f>
        <v/>
      </c>
    </row>
    <row r="266">
      <c r="C266" s="7">
        <v>0.0030555555555555557</v>
      </c>
      <c r="L266" s="5" t="str">
        <f t="array" ref="L266">XLOOKUP(K266,Skills[Action],Skills[Icon],"")</f>
        <v/>
      </c>
      <c r="N266" s="5" t="str">
        <f t="array" ref="N266">XLOOKUP(M266,Skills[Action],Skills[Icon],"")</f>
        <v/>
      </c>
      <c r="P266" s="5" t="str">
        <f t="array" ref="P266">XLOOKUP(O266,Skills[Action],Skills[Icon],"")</f>
        <v/>
      </c>
      <c r="R266" s="5" t="str">
        <f t="array" ref="R266">XLOOKUP(Q266,Skills[Action],Skills[Icon],"")</f>
        <v/>
      </c>
      <c r="T266" s="5" t="str">
        <f t="array" ref="T266">XLOOKUP(S266,Skills[Action],Skills[Icon],"")</f>
        <v/>
      </c>
      <c r="V266" s="5" t="str">
        <f t="array" ref="V266">XLOOKUP(U266,Skills[Action],Skills[Icon],"")</f>
        <v/>
      </c>
    </row>
    <row r="267">
      <c r="C267" s="7">
        <v>0.0030671296296296297</v>
      </c>
      <c r="L267" s="5" t="str">
        <f t="array" ref="L267">XLOOKUP(K267,Skills[Action],Skills[Icon],"")</f>
        <v/>
      </c>
      <c r="N267" s="5" t="str">
        <f t="array" ref="N267">XLOOKUP(M267,Skills[Action],Skills[Icon],"")</f>
        <v/>
      </c>
      <c r="P267" s="5" t="str">
        <f t="array" ref="P267">XLOOKUP(O267,Skills[Action],Skills[Icon],"")</f>
        <v/>
      </c>
      <c r="R267" s="5" t="str">
        <f t="array" ref="R267">XLOOKUP(Q267,Skills[Action],Skills[Icon],"")</f>
        <v/>
      </c>
      <c r="T267" s="5" t="str">
        <f t="array" ref="T267">XLOOKUP(S267,Skills[Action],Skills[Icon],"")</f>
        <v/>
      </c>
      <c r="V267" s="5" t="str">
        <f t="array" ref="V267">XLOOKUP(U267,Skills[Action],Skills[Icon],"")</f>
        <v/>
      </c>
    </row>
    <row r="268">
      <c r="C268" s="7">
        <v>0.0030787037037037037</v>
      </c>
      <c r="L268" s="5" t="str">
        <f t="array" ref="L268">XLOOKUP(K268,Skills[Action],Skills[Icon],"")</f>
        <v/>
      </c>
      <c r="N268" s="5" t="str">
        <f t="array" ref="N268">XLOOKUP(M268,Skills[Action],Skills[Icon],"")</f>
        <v/>
      </c>
      <c r="P268" s="5" t="str">
        <f t="array" ref="P268">XLOOKUP(O268,Skills[Action],Skills[Icon],"")</f>
        <v/>
      </c>
      <c r="R268" s="5" t="str">
        <f t="array" ref="R268">XLOOKUP(Q268,Skills[Action],Skills[Icon],"")</f>
        <v/>
      </c>
      <c r="T268" s="5" t="str">
        <f t="array" ref="T268">XLOOKUP(S268,Skills[Action],Skills[Icon],"")</f>
        <v/>
      </c>
      <c r="V268" s="5" t="str">
        <f t="array" ref="V268">XLOOKUP(U268,Skills[Action],Skills[Icon],"")</f>
        <v/>
      </c>
    </row>
    <row r="269">
      <c r="C269" s="7">
        <v>0.0030902777777777777</v>
      </c>
      <c r="L269" s="5" t="str">
        <f t="array" ref="L269">XLOOKUP(K269,Skills[Action],Skills[Icon],"")</f>
        <v/>
      </c>
      <c r="N269" s="5" t="str">
        <f t="array" ref="N269">XLOOKUP(M269,Skills[Action],Skills[Icon],"")</f>
        <v/>
      </c>
      <c r="P269" s="5" t="str">
        <f t="array" ref="P269">XLOOKUP(O269,Skills[Action],Skills[Icon],"")</f>
        <v/>
      </c>
      <c r="R269" s="5" t="str">
        <f t="array" ref="R269">XLOOKUP(Q269,Skills[Action],Skills[Icon],"")</f>
        <v/>
      </c>
      <c r="T269" s="5" t="str">
        <f t="array" ref="T269">XLOOKUP(S269,Skills[Action],Skills[Icon],"")</f>
        <v/>
      </c>
      <c r="V269" s="5" t="str">
        <f t="array" ref="V269">XLOOKUP(U269,Skills[Action],Skills[Icon],"")</f>
        <v/>
      </c>
    </row>
    <row r="270">
      <c r="C270" s="7">
        <v>0.0031018518518518517</v>
      </c>
      <c r="L270" s="5" t="str">
        <f t="array" ref="L270">XLOOKUP(K270,Skills[Action],Skills[Icon],"")</f>
        <v/>
      </c>
      <c r="N270" s="5" t="str">
        <f t="array" ref="N270">XLOOKUP(M270,Skills[Action],Skills[Icon],"")</f>
        <v/>
      </c>
      <c r="P270" s="5" t="str">
        <f t="array" ref="P270">XLOOKUP(O270,Skills[Action],Skills[Icon],"")</f>
        <v/>
      </c>
      <c r="R270" s="5" t="str">
        <f t="array" ref="R270">XLOOKUP(Q270,Skills[Action],Skills[Icon],"")</f>
        <v/>
      </c>
      <c r="T270" s="5" t="str">
        <f t="array" ref="T270">XLOOKUP(S270,Skills[Action],Skills[Icon],"")</f>
        <v/>
      </c>
      <c r="V270" s="5" t="str">
        <f t="array" ref="V270">XLOOKUP(U270,Skills[Action],Skills[Icon],"")</f>
        <v/>
      </c>
    </row>
    <row r="271">
      <c r="C271" s="7">
        <v>0.0031134259259259257</v>
      </c>
      <c r="L271" s="5" t="str">
        <f t="array" ref="L271">XLOOKUP(K271,Skills[Action],Skills[Icon],"")</f>
        <v/>
      </c>
      <c r="N271" s="5" t="str">
        <f t="array" ref="N271">XLOOKUP(M271,Skills[Action],Skills[Icon],"")</f>
        <v/>
      </c>
      <c r="P271" s="5" t="str">
        <f t="array" ref="P271">XLOOKUP(O271,Skills[Action],Skills[Icon],"")</f>
        <v/>
      </c>
      <c r="R271" s="5" t="str">
        <f t="array" ref="R271">XLOOKUP(Q271,Skills[Action],Skills[Icon],"")</f>
        <v/>
      </c>
      <c r="T271" s="5" t="str">
        <f t="array" ref="T271">XLOOKUP(S271,Skills[Action],Skills[Icon],"")</f>
        <v/>
      </c>
      <c r="V271" s="5" t="str">
        <f t="array" ref="V271">XLOOKUP(U271,Skills[Action],Skills[Icon],"")</f>
        <v/>
      </c>
    </row>
    <row r="272">
      <c r="C272" s="7">
        <v>0.003125</v>
      </c>
      <c r="L272" s="5" t="str">
        <f t="array" ref="L272">XLOOKUP(K272,Skills[Action],Skills[Icon],"")</f>
        <v/>
      </c>
      <c r="N272" s="5" t="str">
        <f t="array" ref="N272">XLOOKUP(M272,Skills[Action],Skills[Icon],"")</f>
        <v/>
      </c>
      <c r="P272" s="5" t="str">
        <f t="array" ref="P272">XLOOKUP(O272,Skills[Action],Skills[Icon],"")</f>
        <v/>
      </c>
      <c r="R272" s="5" t="str">
        <f t="array" ref="R272">XLOOKUP(Q272,Skills[Action],Skills[Icon],"")</f>
        <v/>
      </c>
      <c r="T272" s="5" t="str">
        <f t="array" ref="T272">XLOOKUP(S272,Skills[Action],Skills[Icon],"")</f>
        <v/>
      </c>
      <c r="V272" s="5" t="str">
        <f t="array" ref="V272">XLOOKUP(U272,Skills[Action],Skills[Icon],"")</f>
        <v/>
      </c>
    </row>
    <row r="273">
      <c r="C273" s="7">
        <v>0.003136574074074074</v>
      </c>
      <c r="L273" s="5" t="str">
        <f t="array" ref="L273">XLOOKUP(K273,Skills[Action],Skills[Icon],"")</f>
        <v/>
      </c>
      <c r="N273" s="5" t="str">
        <f t="array" ref="N273">XLOOKUP(M273,Skills[Action],Skills[Icon],"")</f>
        <v/>
      </c>
      <c r="P273" s="5" t="str">
        <f t="array" ref="P273">XLOOKUP(O273,Skills[Action],Skills[Icon],"")</f>
        <v/>
      </c>
      <c r="R273" s="5" t="str">
        <f t="array" ref="R273">XLOOKUP(Q273,Skills[Action],Skills[Icon],"")</f>
        <v/>
      </c>
      <c r="T273" s="5" t="str">
        <f t="array" ref="T273">XLOOKUP(S273,Skills[Action],Skills[Icon],"")</f>
        <v/>
      </c>
      <c r="V273" s="5" t="str">
        <f t="array" ref="V273">XLOOKUP(U273,Skills[Action],Skills[Icon],"")</f>
        <v/>
      </c>
    </row>
    <row r="274">
      <c r="C274" s="7">
        <v>0.003148148148148148</v>
      </c>
      <c r="L274" s="5" t="str">
        <f t="array" ref="L274">XLOOKUP(K274,Skills[Action],Skills[Icon],"")</f>
        <v/>
      </c>
      <c r="N274" s="5" t="str">
        <f t="array" ref="N274">XLOOKUP(M274,Skills[Action],Skills[Icon],"")</f>
        <v/>
      </c>
      <c r="P274" s="5" t="str">
        <f t="array" ref="P274">XLOOKUP(O274,Skills[Action],Skills[Icon],"")</f>
        <v/>
      </c>
      <c r="R274" s="5" t="str">
        <f t="array" ref="R274">XLOOKUP(Q274,Skills[Action],Skills[Icon],"")</f>
        <v/>
      </c>
      <c r="T274" s="5" t="str">
        <f t="array" ref="T274">XLOOKUP(S274,Skills[Action],Skills[Icon],"")</f>
        <v/>
      </c>
      <c r="V274" s="5" t="str">
        <f t="array" ref="V274">XLOOKUP(U274,Skills[Action],Skills[Icon],"")</f>
        <v/>
      </c>
    </row>
    <row r="275">
      <c r="C275" s="7">
        <v>0.003159722222222222</v>
      </c>
      <c r="L275" s="5" t="str">
        <f t="array" ref="L275">XLOOKUP(K275,Skills[Action],Skills[Icon],"")</f>
        <v/>
      </c>
      <c r="N275" s="5" t="str">
        <f t="array" ref="N275">XLOOKUP(M275,Skills[Action],Skills[Icon],"")</f>
        <v/>
      </c>
      <c r="P275" s="5" t="str">
        <f t="array" ref="P275">XLOOKUP(O275,Skills[Action],Skills[Icon],"")</f>
        <v/>
      </c>
      <c r="R275" s="5" t="str">
        <f t="array" ref="R275">XLOOKUP(Q275,Skills[Action],Skills[Icon],"")</f>
        <v/>
      </c>
      <c r="T275" s="5" t="str">
        <f t="array" ref="T275">XLOOKUP(S275,Skills[Action],Skills[Icon],"")</f>
        <v/>
      </c>
      <c r="V275" s="5" t="str">
        <f t="array" ref="V275">XLOOKUP(U275,Skills[Action],Skills[Icon],"")</f>
        <v/>
      </c>
    </row>
    <row r="276">
      <c r="C276" s="7">
        <v>0.003171296296296296</v>
      </c>
      <c r="L276" s="5" t="str">
        <f t="array" ref="L276">XLOOKUP(K276,Skills[Action],Skills[Icon],"")</f>
        <v/>
      </c>
      <c r="N276" s="5" t="str">
        <f t="array" ref="N276">XLOOKUP(M276,Skills[Action],Skills[Icon],"")</f>
        <v/>
      </c>
      <c r="P276" s="5" t="str">
        <f t="array" ref="P276">XLOOKUP(O276,Skills[Action],Skills[Icon],"")</f>
        <v/>
      </c>
      <c r="R276" s="5" t="str">
        <f t="array" ref="R276">XLOOKUP(Q276,Skills[Action],Skills[Icon],"")</f>
        <v/>
      </c>
      <c r="T276" s="5" t="str">
        <f t="array" ref="T276">XLOOKUP(S276,Skills[Action],Skills[Icon],"")</f>
        <v/>
      </c>
      <c r="V276" s="5" t="str">
        <f t="array" ref="V276">XLOOKUP(U276,Skills[Action],Skills[Icon],"")</f>
        <v/>
      </c>
    </row>
    <row r="277">
      <c r="C277" s="7">
        <v>0.00318287037037037</v>
      </c>
      <c r="L277" s="5" t="str">
        <f t="array" ref="L277">XLOOKUP(K277,Skills[Action],Skills[Icon],"")</f>
        <v/>
      </c>
      <c r="N277" s="5" t="str">
        <f t="array" ref="N277">XLOOKUP(M277,Skills[Action],Skills[Icon],"")</f>
        <v/>
      </c>
      <c r="P277" s="5" t="str">
        <f t="array" ref="P277">XLOOKUP(O277,Skills[Action],Skills[Icon],"")</f>
        <v/>
      </c>
      <c r="R277" s="5" t="str">
        <f t="array" ref="R277">XLOOKUP(Q277,Skills[Action],Skills[Icon],"")</f>
        <v/>
      </c>
      <c r="T277" s="5" t="str">
        <f t="array" ref="T277">XLOOKUP(S277,Skills[Action],Skills[Icon],"")</f>
        <v/>
      </c>
      <c r="V277" s="5" t="str">
        <f t="array" ref="V277">XLOOKUP(U277,Skills[Action],Skills[Icon],"")</f>
        <v/>
      </c>
    </row>
    <row r="278">
      <c r="C278" s="7">
        <v>0.0031944444444444446</v>
      </c>
      <c r="L278" s="5" t="str">
        <f t="array" ref="L278">XLOOKUP(K278,Skills[Action],Skills[Icon],"")</f>
        <v/>
      </c>
      <c r="N278" s="5" t="str">
        <f t="array" ref="N278">XLOOKUP(M278,Skills[Action],Skills[Icon],"")</f>
        <v/>
      </c>
      <c r="P278" s="5" t="str">
        <f t="array" ref="P278">XLOOKUP(O278,Skills[Action],Skills[Icon],"")</f>
        <v/>
      </c>
      <c r="R278" s="5" t="str">
        <f t="array" ref="R278">XLOOKUP(Q278,Skills[Action],Skills[Icon],"")</f>
        <v/>
      </c>
      <c r="T278" s="5" t="str">
        <f t="array" ref="T278">XLOOKUP(S278,Skills[Action],Skills[Icon],"")</f>
        <v/>
      </c>
      <c r="V278" s="5" t="str">
        <f t="array" ref="V278">XLOOKUP(U278,Skills[Action],Skills[Icon],"")</f>
        <v/>
      </c>
    </row>
    <row r="279">
      <c r="C279" s="7">
        <v>0.0032060185185185186</v>
      </c>
      <c r="L279" s="5" t="str">
        <f t="array" ref="L279">XLOOKUP(K279,Skills[Action],Skills[Icon],"")</f>
        <v/>
      </c>
      <c r="N279" s="5" t="str">
        <f t="array" ref="N279">XLOOKUP(M279,Skills[Action],Skills[Icon],"")</f>
        <v/>
      </c>
      <c r="P279" s="5" t="str">
        <f t="array" ref="P279">XLOOKUP(O279,Skills[Action],Skills[Icon],"")</f>
        <v/>
      </c>
      <c r="R279" s="5" t="str">
        <f t="array" ref="R279">XLOOKUP(Q279,Skills[Action],Skills[Icon],"")</f>
        <v/>
      </c>
      <c r="T279" s="5" t="str">
        <f t="array" ref="T279">XLOOKUP(S279,Skills[Action],Skills[Icon],"")</f>
        <v/>
      </c>
      <c r="V279" s="5" t="str">
        <f t="array" ref="V279">XLOOKUP(U279,Skills[Action],Skills[Icon],"")</f>
        <v/>
      </c>
    </row>
    <row r="280">
      <c r="C280" s="7">
        <v>0.0032175925925925926</v>
      </c>
      <c r="L280" s="5" t="str">
        <f t="array" ref="L280">XLOOKUP(K280,Skills[Action],Skills[Icon],"")</f>
        <v/>
      </c>
      <c r="N280" s="5" t="str">
        <f t="array" ref="N280">XLOOKUP(M280,Skills[Action],Skills[Icon],"")</f>
        <v/>
      </c>
      <c r="P280" s="5" t="str">
        <f t="array" ref="P280">XLOOKUP(O280,Skills[Action],Skills[Icon],"")</f>
        <v/>
      </c>
      <c r="R280" s="5" t="str">
        <f t="array" ref="R280">XLOOKUP(Q280,Skills[Action],Skills[Icon],"")</f>
        <v/>
      </c>
      <c r="T280" s="5" t="str">
        <f t="array" ref="T280">XLOOKUP(S280,Skills[Action],Skills[Icon],"")</f>
        <v/>
      </c>
      <c r="V280" s="5" t="str">
        <f t="array" ref="V280">XLOOKUP(U280,Skills[Action],Skills[Icon],"")</f>
        <v/>
      </c>
    </row>
    <row r="281">
      <c r="C281" s="7">
        <v>0.0032291666666666666</v>
      </c>
      <c r="L281" s="5" t="str">
        <f t="array" ref="L281">XLOOKUP(K281,Skills[Action],Skills[Icon],"")</f>
        <v/>
      </c>
      <c r="N281" s="5" t="str">
        <f t="array" ref="N281">XLOOKUP(M281,Skills[Action],Skills[Icon],"")</f>
        <v/>
      </c>
      <c r="P281" s="5" t="str">
        <f t="array" ref="P281">XLOOKUP(O281,Skills[Action],Skills[Icon],"")</f>
        <v/>
      </c>
      <c r="R281" s="5" t="str">
        <f t="array" ref="R281">XLOOKUP(Q281,Skills[Action],Skills[Icon],"")</f>
        <v/>
      </c>
      <c r="T281" s="5" t="str">
        <f t="array" ref="T281">XLOOKUP(S281,Skills[Action],Skills[Icon],"")</f>
        <v/>
      </c>
      <c r="V281" s="5" t="str">
        <f t="array" ref="V281">XLOOKUP(U281,Skills[Action],Skills[Icon],"")</f>
        <v/>
      </c>
    </row>
    <row r="282">
      <c r="C282" s="7">
        <v>0.0032407407407407406</v>
      </c>
      <c r="L282" s="5" t="str">
        <f t="array" ref="L282">XLOOKUP(K282,Skills[Action],Skills[Icon],"")</f>
        <v/>
      </c>
      <c r="N282" s="5" t="str">
        <f t="array" ref="N282">XLOOKUP(M282,Skills[Action],Skills[Icon],"")</f>
        <v/>
      </c>
      <c r="P282" s="5" t="str">
        <f t="array" ref="P282">XLOOKUP(O282,Skills[Action],Skills[Icon],"")</f>
        <v/>
      </c>
      <c r="R282" s="5" t="str">
        <f t="array" ref="R282">XLOOKUP(Q282,Skills[Action],Skills[Icon],"")</f>
        <v/>
      </c>
      <c r="T282" s="5" t="str">
        <f t="array" ref="T282">XLOOKUP(S282,Skills[Action],Skills[Icon],"")</f>
        <v/>
      </c>
      <c r="V282" s="5" t="str">
        <f t="array" ref="V282">XLOOKUP(U282,Skills[Action],Skills[Icon],"")</f>
        <v/>
      </c>
    </row>
    <row r="283">
      <c r="C283" s="7">
        <v>0.0032523148148148147</v>
      </c>
      <c r="L283" s="5" t="str">
        <f t="array" ref="L283">XLOOKUP(K283,Skills[Action],Skills[Icon],"")</f>
        <v/>
      </c>
      <c r="N283" s="5" t="str">
        <f t="array" ref="N283">XLOOKUP(M283,Skills[Action],Skills[Icon],"")</f>
        <v/>
      </c>
      <c r="P283" s="5" t="str">
        <f t="array" ref="P283">XLOOKUP(O283,Skills[Action],Skills[Icon],"")</f>
        <v/>
      </c>
      <c r="R283" s="5" t="str">
        <f t="array" ref="R283">XLOOKUP(Q283,Skills[Action],Skills[Icon],"")</f>
        <v/>
      </c>
      <c r="T283" s="5" t="str">
        <f t="array" ref="T283">XLOOKUP(S283,Skills[Action],Skills[Icon],"")</f>
        <v/>
      </c>
      <c r="V283" s="5" t="str">
        <f t="array" ref="V283">XLOOKUP(U283,Skills[Action],Skills[Icon],"")</f>
        <v/>
      </c>
    </row>
    <row r="284">
      <c r="C284" s="7">
        <v>0.003263888888888889</v>
      </c>
      <c r="L284" s="5" t="str">
        <f t="array" ref="L284">XLOOKUP(K284,Skills[Action],Skills[Icon],"")</f>
        <v/>
      </c>
      <c r="N284" s="5" t="str">
        <f t="array" ref="N284">XLOOKUP(M284,Skills[Action],Skills[Icon],"")</f>
        <v/>
      </c>
      <c r="P284" s="5" t="str">
        <f t="array" ref="P284">XLOOKUP(O284,Skills[Action],Skills[Icon],"")</f>
        <v/>
      </c>
      <c r="R284" s="5" t="str">
        <f t="array" ref="R284">XLOOKUP(Q284,Skills[Action],Skills[Icon],"")</f>
        <v/>
      </c>
      <c r="T284" s="5" t="str">
        <f t="array" ref="T284">XLOOKUP(S284,Skills[Action],Skills[Icon],"")</f>
        <v/>
      </c>
      <c r="V284" s="5" t="str">
        <f t="array" ref="V284">XLOOKUP(U284,Skills[Action],Skills[Icon],"")</f>
        <v/>
      </c>
    </row>
    <row r="285">
      <c r="C285" s="7">
        <v>0.003275462962962963</v>
      </c>
      <c r="L285" s="5" t="str">
        <f t="array" ref="L285">XLOOKUP(K285,Skills[Action],Skills[Icon],"")</f>
        <v/>
      </c>
      <c r="N285" s="5" t="str">
        <f t="array" ref="N285">XLOOKUP(M285,Skills[Action],Skills[Icon],"")</f>
        <v/>
      </c>
      <c r="P285" s="5" t="str">
        <f t="array" ref="P285">XLOOKUP(O285,Skills[Action],Skills[Icon],"")</f>
        <v/>
      </c>
      <c r="R285" s="5" t="str">
        <f t="array" ref="R285">XLOOKUP(Q285,Skills[Action],Skills[Icon],"")</f>
        <v/>
      </c>
      <c r="T285" s="5" t="str">
        <f t="array" ref="T285">XLOOKUP(S285,Skills[Action],Skills[Icon],"")</f>
        <v/>
      </c>
      <c r="V285" s="5" t="str">
        <f t="array" ref="V285">XLOOKUP(U285,Skills[Action],Skills[Icon],"")</f>
        <v/>
      </c>
    </row>
    <row r="286">
      <c r="C286" s="7">
        <v>0.003287037037037037</v>
      </c>
      <c r="L286" s="5" t="str">
        <f t="array" ref="L286">XLOOKUP(K286,Skills[Action],Skills[Icon],"")</f>
        <v/>
      </c>
      <c r="N286" s="5" t="str">
        <f t="array" ref="N286">XLOOKUP(M286,Skills[Action],Skills[Icon],"")</f>
        <v/>
      </c>
      <c r="P286" s="5" t="str">
        <f t="array" ref="P286">XLOOKUP(O286,Skills[Action],Skills[Icon],"")</f>
        <v/>
      </c>
      <c r="R286" s="5" t="str">
        <f t="array" ref="R286">XLOOKUP(Q286,Skills[Action],Skills[Icon],"")</f>
        <v/>
      </c>
      <c r="T286" s="5" t="str">
        <f t="array" ref="T286">XLOOKUP(S286,Skills[Action],Skills[Icon],"")</f>
        <v/>
      </c>
      <c r="V286" s="5" t="str">
        <f t="array" ref="V286">XLOOKUP(U286,Skills[Action],Skills[Icon],"")</f>
        <v/>
      </c>
    </row>
    <row r="287">
      <c r="C287" s="7">
        <v>0.003298611111111111</v>
      </c>
      <c r="L287" s="5" t="str">
        <f t="array" ref="L287">XLOOKUP(K287,Skills[Action],Skills[Icon],"")</f>
        <v/>
      </c>
      <c r="N287" s="5" t="str">
        <f t="array" ref="N287">XLOOKUP(M287,Skills[Action],Skills[Icon],"")</f>
        <v/>
      </c>
      <c r="P287" s="5" t="str">
        <f t="array" ref="P287">XLOOKUP(O287,Skills[Action],Skills[Icon],"")</f>
        <v/>
      </c>
      <c r="R287" s="5" t="str">
        <f t="array" ref="R287">XLOOKUP(Q287,Skills[Action],Skills[Icon],"")</f>
        <v/>
      </c>
      <c r="T287" s="5" t="str">
        <f t="array" ref="T287">XLOOKUP(S287,Skills[Action],Skills[Icon],"")</f>
        <v/>
      </c>
      <c r="V287" s="5" t="str">
        <f t="array" ref="V287">XLOOKUP(U287,Skills[Action],Skills[Icon],"")</f>
        <v/>
      </c>
    </row>
    <row r="288">
      <c r="C288" s="7">
        <v>0.003310185185185185</v>
      </c>
      <c r="L288" s="5" t="str">
        <f t="array" ref="L288">XLOOKUP(K288,Skills[Action],Skills[Icon],"")</f>
        <v/>
      </c>
      <c r="N288" s="5" t="str">
        <f t="array" ref="N288">XLOOKUP(M288,Skills[Action],Skills[Icon],"")</f>
        <v/>
      </c>
      <c r="P288" s="5" t="str">
        <f t="array" ref="P288">XLOOKUP(O288,Skills[Action],Skills[Icon],"")</f>
        <v/>
      </c>
      <c r="R288" s="5" t="str">
        <f t="array" ref="R288">XLOOKUP(Q288,Skills[Action],Skills[Icon],"")</f>
        <v/>
      </c>
      <c r="T288" s="5" t="str">
        <f t="array" ref="T288">XLOOKUP(S288,Skills[Action],Skills[Icon],"")</f>
        <v/>
      </c>
      <c r="V288" s="5" t="str">
        <f t="array" ref="V288">XLOOKUP(U288,Skills[Action],Skills[Icon],"")</f>
        <v/>
      </c>
    </row>
    <row r="289">
      <c r="C289" s="7">
        <v>0.003321759259259259</v>
      </c>
      <c r="L289" s="5" t="str">
        <f t="array" ref="L289">XLOOKUP(K289,Skills[Action],Skills[Icon],"")</f>
        <v/>
      </c>
      <c r="N289" s="5" t="str">
        <f t="array" ref="N289">XLOOKUP(M289,Skills[Action],Skills[Icon],"")</f>
        <v/>
      </c>
      <c r="P289" s="5" t="str">
        <f t="array" ref="P289">XLOOKUP(O289,Skills[Action],Skills[Icon],"")</f>
        <v/>
      </c>
      <c r="R289" s="5" t="str">
        <f t="array" ref="R289">XLOOKUP(Q289,Skills[Action],Skills[Icon],"")</f>
        <v/>
      </c>
      <c r="T289" s="5" t="str">
        <f t="array" ref="T289">XLOOKUP(S289,Skills[Action],Skills[Icon],"")</f>
        <v/>
      </c>
      <c r="V289" s="5" t="str">
        <f t="array" ref="V289">XLOOKUP(U289,Skills[Action],Skills[Icon],"")</f>
        <v/>
      </c>
    </row>
    <row r="290">
      <c r="C290" s="7">
        <v>0.0033333333333333335</v>
      </c>
      <c r="L290" s="5" t="str">
        <f t="array" ref="L290">XLOOKUP(K290,Skills[Action],Skills[Icon],"")</f>
        <v/>
      </c>
      <c r="N290" s="5" t="str">
        <f t="array" ref="N290">XLOOKUP(M290,Skills[Action],Skills[Icon],"")</f>
        <v/>
      </c>
      <c r="P290" s="5" t="str">
        <f t="array" ref="P290">XLOOKUP(O290,Skills[Action],Skills[Icon],"")</f>
        <v/>
      </c>
      <c r="R290" s="5" t="str">
        <f t="array" ref="R290">XLOOKUP(Q290,Skills[Action],Skills[Icon],"")</f>
        <v/>
      </c>
      <c r="T290" s="5" t="str">
        <f t="array" ref="T290">XLOOKUP(S290,Skills[Action],Skills[Icon],"")</f>
        <v/>
      </c>
      <c r="V290" s="5" t="str">
        <f t="array" ref="V290">XLOOKUP(U290,Skills[Action],Skills[Icon],"")</f>
        <v/>
      </c>
    </row>
    <row r="291">
      <c r="C291" s="7">
        <v>0.0033449074074074076</v>
      </c>
      <c r="L291" s="5" t="str">
        <f t="array" ref="L291">XLOOKUP(K291,Skills[Action],Skills[Icon],"")</f>
        <v/>
      </c>
      <c r="N291" s="5" t="str">
        <f t="array" ref="N291">XLOOKUP(M291,Skills[Action],Skills[Icon],"")</f>
        <v/>
      </c>
      <c r="P291" s="5" t="str">
        <f t="array" ref="P291">XLOOKUP(O291,Skills[Action],Skills[Icon],"")</f>
        <v/>
      </c>
      <c r="R291" s="5" t="str">
        <f t="array" ref="R291">XLOOKUP(Q291,Skills[Action],Skills[Icon],"")</f>
        <v/>
      </c>
      <c r="T291" s="5" t="str">
        <f t="array" ref="T291">XLOOKUP(S291,Skills[Action],Skills[Icon],"")</f>
        <v/>
      </c>
      <c r="V291" s="5" t="str">
        <f t="array" ref="V291">XLOOKUP(U291,Skills[Action],Skills[Icon],"")</f>
        <v/>
      </c>
    </row>
    <row r="292">
      <c r="C292" s="7">
        <v>0.0033564814814814816</v>
      </c>
      <c r="L292" s="5" t="str">
        <f t="array" ref="L292">XLOOKUP(K292,Skills[Action],Skills[Icon],"")</f>
        <v/>
      </c>
      <c r="N292" s="5" t="str">
        <f t="array" ref="N292">XLOOKUP(M292,Skills[Action],Skills[Icon],"")</f>
        <v/>
      </c>
      <c r="P292" s="5" t="str">
        <f t="array" ref="P292">XLOOKUP(O292,Skills[Action],Skills[Icon],"")</f>
        <v/>
      </c>
      <c r="R292" s="5" t="str">
        <f t="array" ref="R292">XLOOKUP(Q292,Skills[Action],Skills[Icon],"")</f>
        <v/>
      </c>
      <c r="T292" s="5" t="str">
        <f t="array" ref="T292">XLOOKUP(S292,Skills[Action],Skills[Icon],"")</f>
        <v/>
      </c>
      <c r="V292" s="5" t="str">
        <f t="array" ref="V292">XLOOKUP(U292,Skills[Action],Skills[Icon],"")</f>
        <v/>
      </c>
    </row>
    <row r="293">
      <c r="C293" s="7">
        <v>0.0033680555555555556</v>
      </c>
      <c r="L293" s="5" t="str">
        <f t="array" ref="L293">XLOOKUP(K293,Skills[Action],Skills[Icon],"")</f>
        <v/>
      </c>
      <c r="N293" s="5" t="str">
        <f t="array" ref="N293">XLOOKUP(M293,Skills[Action],Skills[Icon],"")</f>
        <v/>
      </c>
      <c r="P293" s="5" t="str">
        <f t="array" ref="P293">XLOOKUP(O293,Skills[Action],Skills[Icon],"")</f>
        <v/>
      </c>
      <c r="R293" s="5" t="str">
        <f t="array" ref="R293">XLOOKUP(Q293,Skills[Action],Skills[Icon],"")</f>
        <v/>
      </c>
      <c r="T293" s="5" t="str">
        <f t="array" ref="T293">XLOOKUP(S293,Skills[Action],Skills[Icon],"")</f>
        <v/>
      </c>
      <c r="V293" s="5" t="str">
        <f t="array" ref="V293">XLOOKUP(U293,Skills[Action],Skills[Icon],"")</f>
        <v/>
      </c>
    </row>
    <row r="294">
      <c r="C294" s="7">
        <v>0.0033796296296296296</v>
      </c>
      <c r="L294" s="5" t="str">
        <f t="array" ref="L294">XLOOKUP(K294,Skills[Action],Skills[Icon],"")</f>
        <v/>
      </c>
      <c r="N294" s="5" t="str">
        <f t="array" ref="N294">XLOOKUP(M294,Skills[Action],Skills[Icon],"")</f>
        <v/>
      </c>
      <c r="P294" s="5" t="str">
        <f t="array" ref="P294">XLOOKUP(O294,Skills[Action],Skills[Icon],"")</f>
        <v/>
      </c>
      <c r="R294" s="5" t="str">
        <f t="array" ref="R294">XLOOKUP(Q294,Skills[Action],Skills[Icon],"")</f>
        <v/>
      </c>
      <c r="T294" s="5" t="str">
        <f t="array" ref="T294">XLOOKUP(S294,Skills[Action],Skills[Icon],"")</f>
        <v/>
      </c>
      <c r="V294" s="5" t="str">
        <f t="array" ref="V294">XLOOKUP(U294,Skills[Action],Skills[Icon],"")</f>
        <v/>
      </c>
    </row>
    <row r="295">
      <c r="C295" s="7">
        <v>0.0033912037037037036</v>
      </c>
      <c r="L295" s="5" t="str">
        <f t="array" ref="L295">XLOOKUP(K295,Skills[Action],Skills[Icon],"")</f>
        <v/>
      </c>
      <c r="N295" s="5" t="str">
        <f t="array" ref="N295">XLOOKUP(M295,Skills[Action],Skills[Icon],"")</f>
        <v/>
      </c>
      <c r="P295" s="5" t="str">
        <f t="array" ref="P295">XLOOKUP(O295,Skills[Action],Skills[Icon],"")</f>
        <v/>
      </c>
      <c r="R295" s="5" t="str">
        <f t="array" ref="R295">XLOOKUP(Q295,Skills[Action],Skills[Icon],"")</f>
        <v/>
      </c>
      <c r="T295" s="5" t="str">
        <f t="array" ref="T295">XLOOKUP(S295,Skills[Action],Skills[Icon],"")</f>
        <v/>
      </c>
      <c r="V295" s="5" t="str">
        <f t="array" ref="V295">XLOOKUP(U295,Skills[Action],Skills[Icon],"")</f>
        <v/>
      </c>
    </row>
    <row r="296">
      <c r="C296" s="7">
        <v>0.0034027777777777776</v>
      </c>
      <c r="L296" s="5" t="str">
        <f t="array" ref="L296">XLOOKUP(K296,Skills[Action],Skills[Icon],"")</f>
        <v/>
      </c>
      <c r="N296" s="5" t="str">
        <f t="array" ref="N296">XLOOKUP(M296,Skills[Action],Skills[Icon],"")</f>
        <v/>
      </c>
      <c r="P296" s="5" t="str">
        <f t="array" ref="P296">XLOOKUP(O296,Skills[Action],Skills[Icon],"")</f>
        <v/>
      </c>
      <c r="R296" s="5" t="str">
        <f t="array" ref="R296">XLOOKUP(Q296,Skills[Action],Skills[Icon],"")</f>
        <v/>
      </c>
      <c r="T296" s="5" t="str">
        <f t="array" ref="T296">XLOOKUP(S296,Skills[Action],Skills[Icon],"")</f>
        <v/>
      </c>
      <c r="V296" s="5" t="str">
        <f t="array" ref="V296">XLOOKUP(U296,Skills[Action],Skills[Icon],"")</f>
        <v/>
      </c>
    </row>
    <row r="297">
      <c r="C297" s="7">
        <v>0.003414351851851852</v>
      </c>
      <c r="L297" s="5" t="str">
        <f t="array" ref="L297">XLOOKUP(K297,Skills[Action],Skills[Icon],"")</f>
        <v/>
      </c>
      <c r="N297" s="5" t="str">
        <f t="array" ref="N297">XLOOKUP(M297,Skills[Action],Skills[Icon],"")</f>
        <v/>
      </c>
      <c r="P297" s="5" t="str">
        <f t="array" ref="P297">XLOOKUP(O297,Skills[Action],Skills[Icon],"")</f>
        <v/>
      </c>
      <c r="R297" s="5" t="str">
        <f t="array" ref="R297">XLOOKUP(Q297,Skills[Action],Skills[Icon],"")</f>
        <v/>
      </c>
      <c r="T297" s="5" t="str">
        <f t="array" ref="T297">XLOOKUP(S297,Skills[Action],Skills[Icon],"")</f>
        <v/>
      </c>
      <c r="V297" s="5" t="str">
        <f t="array" ref="V297">XLOOKUP(U297,Skills[Action],Skills[Icon],"")</f>
        <v/>
      </c>
    </row>
    <row r="298">
      <c r="C298" s="7">
        <v>0.003425925925925926</v>
      </c>
      <c r="L298" s="5" t="str">
        <f t="array" ref="L298">XLOOKUP(K298,Skills[Action],Skills[Icon],"")</f>
        <v/>
      </c>
      <c r="N298" s="5" t="str">
        <f t="array" ref="N298">XLOOKUP(M298,Skills[Action],Skills[Icon],"")</f>
        <v/>
      </c>
      <c r="P298" s="5" t="str">
        <f t="array" ref="P298">XLOOKUP(O298,Skills[Action],Skills[Icon],"")</f>
        <v/>
      </c>
      <c r="R298" s="5" t="str">
        <f t="array" ref="R298">XLOOKUP(Q298,Skills[Action],Skills[Icon],"")</f>
        <v/>
      </c>
      <c r="T298" s="5" t="str">
        <f t="array" ref="T298">XLOOKUP(S298,Skills[Action],Skills[Icon],"")</f>
        <v/>
      </c>
      <c r="V298" s="5" t="str">
        <f t="array" ref="V298">XLOOKUP(U298,Skills[Action],Skills[Icon],"")</f>
        <v/>
      </c>
    </row>
    <row r="299">
      <c r="C299" s="7">
        <v>0.0034375</v>
      </c>
      <c r="L299" s="5" t="str">
        <f t="array" ref="L299">XLOOKUP(K299,Skills[Action],Skills[Icon],"")</f>
        <v/>
      </c>
      <c r="N299" s="5" t="str">
        <f t="array" ref="N299">XLOOKUP(M299,Skills[Action],Skills[Icon],"")</f>
        <v/>
      </c>
      <c r="P299" s="5" t="str">
        <f t="array" ref="P299">XLOOKUP(O299,Skills[Action],Skills[Icon],"")</f>
        <v/>
      </c>
      <c r="R299" s="5" t="str">
        <f t="array" ref="R299">XLOOKUP(Q299,Skills[Action],Skills[Icon],"")</f>
        <v/>
      </c>
      <c r="T299" s="5" t="str">
        <f t="array" ref="T299">XLOOKUP(S299,Skills[Action],Skills[Icon],"")</f>
        <v/>
      </c>
      <c r="V299" s="5" t="str">
        <f t="array" ref="V299">XLOOKUP(U299,Skills[Action],Skills[Icon],"")</f>
        <v/>
      </c>
    </row>
    <row r="300">
      <c r="C300" s="7">
        <v>0.003449074074074074</v>
      </c>
      <c r="L300" s="5" t="str">
        <f t="array" ref="L300">XLOOKUP(K300,Skills[Action],Skills[Icon],"")</f>
        <v/>
      </c>
      <c r="N300" s="5" t="str">
        <f t="array" ref="N300">XLOOKUP(M300,Skills[Action],Skills[Icon],"")</f>
        <v/>
      </c>
      <c r="P300" s="5" t="str">
        <f t="array" ref="P300">XLOOKUP(O300,Skills[Action],Skills[Icon],"")</f>
        <v/>
      </c>
      <c r="R300" s="5" t="str">
        <f t="array" ref="R300">XLOOKUP(Q300,Skills[Action],Skills[Icon],"")</f>
        <v/>
      </c>
      <c r="T300" s="5" t="str">
        <f t="array" ref="T300">XLOOKUP(S300,Skills[Action],Skills[Icon],"")</f>
        <v/>
      </c>
      <c r="V300" s="5" t="str">
        <f t="array" ref="V300">XLOOKUP(U300,Skills[Action],Skills[Icon],"")</f>
        <v/>
      </c>
    </row>
    <row r="301">
      <c r="C301" s="7">
        <v>0.003460648148148148</v>
      </c>
      <c r="L301" s="5" t="str">
        <f t="array" ref="L301">XLOOKUP(K301,Skills[Action],Skills[Icon],"")</f>
        <v/>
      </c>
      <c r="N301" s="5" t="str">
        <f t="array" ref="N301">XLOOKUP(M301,Skills[Action],Skills[Icon],"")</f>
        <v/>
      </c>
      <c r="P301" s="5" t="str">
        <f t="array" ref="P301">XLOOKUP(O301,Skills[Action],Skills[Icon],"")</f>
        <v/>
      </c>
      <c r="R301" s="5" t="str">
        <f t="array" ref="R301">XLOOKUP(Q301,Skills[Action],Skills[Icon],"")</f>
        <v/>
      </c>
      <c r="T301" s="5" t="str">
        <f t="array" ref="T301">XLOOKUP(S301,Skills[Action],Skills[Icon],"")</f>
        <v/>
      </c>
      <c r="V301" s="5" t="str">
        <f t="array" ref="V301">XLOOKUP(U301,Skills[Action],Skills[Icon],"")</f>
        <v/>
      </c>
    </row>
    <row r="302">
      <c r="C302" s="7">
        <v>0.003472222222222222</v>
      </c>
      <c r="L302" s="5" t="str">
        <f t="array" ref="L302">XLOOKUP(K302,Skills[Action],Skills[Icon],"")</f>
        <v/>
      </c>
      <c r="N302" s="5" t="str">
        <f t="array" ref="N302">XLOOKUP(M302,Skills[Action],Skills[Icon],"")</f>
        <v/>
      </c>
      <c r="P302" s="5" t="str">
        <f t="array" ref="P302">XLOOKUP(O302,Skills[Action],Skills[Icon],"")</f>
        <v/>
      </c>
      <c r="R302" s="5" t="str">
        <f t="array" ref="R302">XLOOKUP(Q302,Skills[Action],Skills[Icon],"")</f>
        <v/>
      </c>
      <c r="T302" s="5" t="str">
        <f t="array" ref="T302">XLOOKUP(S302,Skills[Action],Skills[Icon],"")</f>
        <v/>
      </c>
      <c r="V302" s="5" t="str">
        <f t="array" ref="V302">XLOOKUP(U302,Skills[Action],Skills[Icon],"")</f>
        <v/>
      </c>
    </row>
    <row r="303">
      <c r="C303" s="7">
        <v>0.0034837962962962965</v>
      </c>
      <c r="L303" s="5" t="str">
        <f t="array" ref="L303">XLOOKUP(K303,Skills[Action],Skills[Icon],"")</f>
        <v/>
      </c>
      <c r="N303" s="5" t="str">
        <f t="array" ref="N303">XLOOKUP(M303,Skills[Action],Skills[Icon],"")</f>
        <v/>
      </c>
      <c r="P303" s="5" t="str">
        <f t="array" ref="P303">XLOOKUP(O303,Skills[Action],Skills[Icon],"")</f>
        <v/>
      </c>
      <c r="R303" s="5" t="str">
        <f t="array" ref="R303">XLOOKUP(Q303,Skills[Action],Skills[Icon],"")</f>
        <v/>
      </c>
      <c r="T303" s="5" t="str">
        <f t="array" ref="T303">XLOOKUP(S303,Skills[Action],Skills[Icon],"")</f>
        <v/>
      </c>
      <c r="V303" s="5" t="str">
        <f t="array" ref="V303">XLOOKUP(U303,Skills[Action],Skills[Icon],"")</f>
        <v/>
      </c>
    </row>
    <row r="304">
      <c r="C304" s="7">
        <v>0.0034953703703703705</v>
      </c>
      <c r="L304" s="5" t="str">
        <f t="array" ref="L304">XLOOKUP(K304,Skills[Action],Skills[Icon],"")</f>
        <v/>
      </c>
      <c r="N304" s="5" t="str">
        <f t="array" ref="N304">XLOOKUP(M304,Skills[Action],Skills[Icon],"")</f>
        <v/>
      </c>
      <c r="P304" s="5" t="str">
        <f t="array" ref="P304">XLOOKUP(O304,Skills[Action],Skills[Icon],"")</f>
        <v/>
      </c>
      <c r="R304" s="5" t="str">
        <f t="array" ref="R304">XLOOKUP(Q304,Skills[Action],Skills[Icon],"")</f>
        <v/>
      </c>
      <c r="T304" s="5" t="str">
        <f t="array" ref="T304">XLOOKUP(S304,Skills[Action],Skills[Icon],"")</f>
        <v/>
      </c>
      <c r="V304" s="5" t="str">
        <f t="array" ref="V304">XLOOKUP(U304,Skills[Action],Skills[Icon],"")</f>
        <v/>
      </c>
    </row>
    <row r="305">
      <c r="C305" s="7">
        <v>0.0035069444444444445</v>
      </c>
      <c r="L305" s="5" t="str">
        <f t="array" ref="L305">XLOOKUP(K305,Skills[Action],Skills[Icon],"")</f>
        <v/>
      </c>
      <c r="N305" s="5" t="str">
        <f t="array" ref="N305">XLOOKUP(M305,Skills[Action],Skills[Icon],"")</f>
        <v/>
      </c>
      <c r="P305" s="5" t="str">
        <f t="array" ref="P305">XLOOKUP(O305,Skills[Action],Skills[Icon],"")</f>
        <v/>
      </c>
      <c r="R305" s="5" t="str">
        <f t="array" ref="R305">XLOOKUP(Q305,Skills[Action],Skills[Icon],"")</f>
        <v/>
      </c>
      <c r="T305" s="5" t="str">
        <f t="array" ref="T305">XLOOKUP(S305,Skills[Action],Skills[Icon],"")</f>
        <v/>
      </c>
      <c r="V305" s="5" t="str">
        <f t="array" ref="V305">XLOOKUP(U305,Skills[Action],Skills[Icon],"")</f>
        <v/>
      </c>
    </row>
    <row r="306">
      <c r="C306" s="7">
        <v>0.0035185185185185185</v>
      </c>
      <c r="L306" s="5" t="str">
        <f t="array" ref="L306">XLOOKUP(K306,Skills[Action],Skills[Icon],"")</f>
        <v/>
      </c>
      <c r="N306" s="5" t="str">
        <f t="array" ref="N306">XLOOKUP(M306,Skills[Action],Skills[Icon],"")</f>
        <v/>
      </c>
      <c r="P306" s="5" t="str">
        <f t="array" ref="P306">XLOOKUP(O306,Skills[Action],Skills[Icon],"")</f>
        <v/>
      </c>
      <c r="R306" s="5" t="str">
        <f t="array" ref="R306">XLOOKUP(Q306,Skills[Action],Skills[Icon],"")</f>
        <v/>
      </c>
      <c r="T306" s="5" t="str">
        <f t="array" ref="T306">XLOOKUP(S306,Skills[Action],Skills[Icon],"")</f>
        <v/>
      </c>
      <c r="V306" s="5" t="str">
        <f t="array" ref="V306">XLOOKUP(U306,Skills[Action],Skills[Icon],"")</f>
        <v/>
      </c>
    </row>
    <row r="307">
      <c r="C307" s="7">
        <v>0.0035300925925925925</v>
      </c>
      <c r="L307" s="5" t="str">
        <f t="array" ref="L307">XLOOKUP(K307,Skills[Action],Skills[Icon],"")</f>
        <v/>
      </c>
      <c r="N307" s="5" t="str">
        <f t="array" ref="N307">XLOOKUP(M307,Skills[Action],Skills[Icon],"")</f>
        <v/>
      </c>
      <c r="P307" s="5" t="str">
        <f t="array" ref="P307">XLOOKUP(O307,Skills[Action],Skills[Icon],"")</f>
        <v/>
      </c>
      <c r="R307" s="5" t="str">
        <f t="array" ref="R307">XLOOKUP(Q307,Skills[Action],Skills[Icon],"")</f>
        <v/>
      </c>
      <c r="T307" s="5" t="str">
        <f t="array" ref="T307">XLOOKUP(S307,Skills[Action],Skills[Icon],"")</f>
        <v/>
      </c>
      <c r="V307" s="5" t="str">
        <f t="array" ref="V307">XLOOKUP(U307,Skills[Action],Skills[Icon],"")</f>
        <v/>
      </c>
    </row>
    <row r="308">
      <c r="C308" s="7">
        <v>0.0035416666666666665</v>
      </c>
      <c r="L308" s="5" t="str">
        <f t="array" ref="L308">XLOOKUP(K308,Skills[Action],Skills[Icon],"")</f>
        <v/>
      </c>
      <c r="N308" s="5" t="str">
        <f t="array" ref="N308">XLOOKUP(M308,Skills[Action],Skills[Icon],"")</f>
        <v/>
      </c>
      <c r="P308" s="5" t="str">
        <f t="array" ref="P308">XLOOKUP(O308,Skills[Action],Skills[Icon],"")</f>
        <v/>
      </c>
      <c r="R308" s="5" t="str">
        <f t="array" ref="R308">XLOOKUP(Q308,Skills[Action],Skills[Icon],"")</f>
        <v/>
      </c>
      <c r="T308" s="5" t="str">
        <f t="array" ref="T308">XLOOKUP(S308,Skills[Action],Skills[Icon],"")</f>
        <v/>
      </c>
      <c r="V308" s="5" t="str">
        <f t="array" ref="V308">XLOOKUP(U308,Skills[Action],Skills[Icon],"")</f>
        <v/>
      </c>
    </row>
    <row r="309">
      <c r="C309" s="7">
        <v>0.003553240740740741</v>
      </c>
      <c r="L309" s="5" t="str">
        <f t="array" ref="L309">XLOOKUP(K309,Skills[Action],Skills[Icon],"")</f>
        <v/>
      </c>
      <c r="N309" s="5" t="str">
        <f t="array" ref="N309">XLOOKUP(M309,Skills[Action],Skills[Icon],"")</f>
        <v/>
      </c>
      <c r="P309" s="5" t="str">
        <f t="array" ref="P309">XLOOKUP(O309,Skills[Action],Skills[Icon],"")</f>
        <v/>
      </c>
      <c r="R309" s="5" t="str">
        <f t="array" ref="R309">XLOOKUP(Q309,Skills[Action],Skills[Icon],"")</f>
        <v/>
      </c>
      <c r="T309" s="5" t="str">
        <f t="array" ref="T309">XLOOKUP(S309,Skills[Action],Skills[Icon],"")</f>
        <v/>
      </c>
      <c r="V309" s="5" t="str">
        <f t="array" ref="V309">XLOOKUP(U309,Skills[Action],Skills[Icon],"")</f>
        <v/>
      </c>
    </row>
    <row r="310">
      <c r="C310" s="7">
        <v>0.003564814814814815</v>
      </c>
      <c r="L310" s="5" t="str">
        <f t="array" ref="L310">XLOOKUP(K310,Skills[Action],Skills[Icon],"")</f>
        <v/>
      </c>
      <c r="N310" s="5" t="str">
        <f t="array" ref="N310">XLOOKUP(M310,Skills[Action],Skills[Icon],"")</f>
        <v/>
      </c>
      <c r="P310" s="5" t="str">
        <f t="array" ref="P310">XLOOKUP(O310,Skills[Action],Skills[Icon],"")</f>
        <v/>
      </c>
      <c r="R310" s="5" t="str">
        <f t="array" ref="R310">XLOOKUP(Q310,Skills[Action],Skills[Icon],"")</f>
        <v/>
      </c>
      <c r="T310" s="5" t="str">
        <f t="array" ref="T310">XLOOKUP(S310,Skills[Action],Skills[Icon],"")</f>
        <v/>
      </c>
      <c r="V310" s="5" t="str">
        <f t="array" ref="V310">XLOOKUP(U310,Skills[Action],Skills[Icon],"")</f>
        <v/>
      </c>
    </row>
    <row r="311">
      <c r="C311" s="7">
        <v>0.003576388888888889</v>
      </c>
      <c r="L311" s="5" t="str">
        <f t="array" ref="L311">XLOOKUP(K311,Skills[Action],Skills[Icon],"")</f>
        <v/>
      </c>
      <c r="N311" s="5" t="str">
        <f t="array" ref="N311">XLOOKUP(M311,Skills[Action],Skills[Icon],"")</f>
        <v/>
      </c>
      <c r="P311" s="5" t="str">
        <f t="array" ref="P311">XLOOKUP(O311,Skills[Action],Skills[Icon],"")</f>
        <v/>
      </c>
      <c r="R311" s="5" t="str">
        <f t="array" ref="R311">XLOOKUP(Q311,Skills[Action],Skills[Icon],"")</f>
        <v/>
      </c>
      <c r="T311" s="5" t="str">
        <f t="array" ref="T311">XLOOKUP(S311,Skills[Action],Skills[Icon],"")</f>
        <v/>
      </c>
      <c r="V311" s="5" t="str">
        <f t="array" ref="V311">XLOOKUP(U311,Skills[Action],Skills[Icon],"")</f>
        <v/>
      </c>
    </row>
    <row r="312">
      <c r="C312" s="7">
        <v>0.003587962962962963</v>
      </c>
      <c r="L312" s="5" t="str">
        <f t="array" ref="L312">XLOOKUP(K312,Skills[Action],Skills[Icon],"")</f>
        <v/>
      </c>
      <c r="N312" s="5" t="str">
        <f t="array" ref="N312">XLOOKUP(M312,Skills[Action],Skills[Icon],"")</f>
        <v/>
      </c>
      <c r="P312" s="5" t="str">
        <f t="array" ref="P312">XLOOKUP(O312,Skills[Action],Skills[Icon],"")</f>
        <v/>
      </c>
      <c r="R312" s="5" t="str">
        <f t="array" ref="R312">XLOOKUP(Q312,Skills[Action],Skills[Icon],"")</f>
        <v/>
      </c>
      <c r="T312" s="5" t="str">
        <f t="array" ref="T312">XLOOKUP(S312,Skills[Action],Skills[Icon],"")</f>
        <v/>
      </c>
      <c r="V312" s="5" t="str">
        <f t="array" ref="V312">XLOOKUP(U312,Skills[Action],Skills[Icon],"")</f>
        <v/>
      </c>
    </row>
    <row r="313">
      <c r="C313" s="7">
        <v>0.003599537037037037</v>
      </c>
      <c r="L313" s="5" t="str">
        <f t="array" ref="L313">XLOOKUP(K313,Skills[Action],Skills[Icon],"")</f>
        <v/>
      </c>
      <c r="N313" s="5" t="str">
        <f t="array" ref="N313">XLOOKUP(M313,Skills[Action],Skills[Icon],"")</f>
        <v/>
      </c>
      <c r="P313" s="5" t="str">
        <f t="array" ref="P313">XLOOKUP(O313,Skills[Action],Skills[Icon],"")</f>
        <v/>
      </c>
      <c r="R313" s="5" t="str">
        <f t="array" ref="R313">XLOOKUP(Q313,Skills[Action],Skills[Icon],"")</f>
        <v/>
      </c>
      <c r="T313" s="5" t="str">
        <f t="array" ref="T313">XLOOKUP(S313,Skills[Action],Skills[Icon],"")</f>
        <v/>
      </c>
      <c r="V313" s="5" t="str">
        <f t="array" ref="V313">XLOOKUP(U313,Skills[Action],Skills[Icon],"")</f>
        <v/>
      </c>
    </row>
    <row r="314">
      <c r="C314" s="7">
        <v>0.003611111111111111</v>
      </c>
      <c r="L314" s="5" t="str">
        <f t="array" ref="L314">XLOOKUP(K314,Skills[Action],Skills[Icon],"")</f>
        <v/>
      </c>
      <c r="N314" s="5" t="str">
        <f t="array" ref="N314">XLOOKUP(M314,Skills[Action],Skills[Icon],"")</f>
        <v/>
      </c>
      <c r="P314" s="5" t="str">
        <f t="array" ref="P314">XLOOKUP(O314,Skills[Action],Skills[Icon],"")</f>
        <v/>
      </c>
      <c r="R314" s="5" t="str">
        <f t="array" ref="R314">XLOOKUP(Q314,Skills[Action],Skills[Icon],"")</f>
        <v/>
      </c>
      <c r="T314" s="5" t="str">
        <f t="array" ref="T314">XLOOKUP(S314,Skills[Action],Skills[Icon],"")</f>
        <v/>
      </c>
      <c r="V314" s="5" t="str">
        <f t="array" ref="V314">XLOOKUP(U314,Skills[Action],Skills[Icon],"")</f>
        <v/>
      </c>
    </row>
    <row r="315">
      <c r="C315" s="7">
        <v>0.0036226851851851854</v>
      </c>
      <c r="L315" s="5" t="str">
        <f t="array" ref="L315">XLOOKUP(K315,Skills[Action],Skills[Icon],"")</f>
        <v/>
      </c>
      <c r="N315" s="5" t="str">
        <f t="array" ref="N315">XLOOKUP(M315,Skills[Action],Skills[Icon],"")</f>
        <v/>
      </c>
      <c r="P315" s="5" t="str">
        <f t="array" ref="P315">XLOOKUP(O315,Skills[Action],Skills[Icon],"")</f>
        <v/>
      </c>
      <c r="R315" s="5" t="str">
        <f t="array" ref="R315">XLOOKUP(Q315,Skills[Action],Skills[Icon],"")</f>
        <v/>
      </c>
      <c r="T315" s="5" t="str">
        <f t="array" ref="T315">XLOOKUP(S315,Skills[Action],Skills[Icon],"")</f>
        <v/>
      </c>
      <c r="V315" s="5" t="str">
        <f t="array" ref="V315">XLOOKUP(U315,Skills[Action],Skills[Icon],"")</f>
        <v/>
      </c>
    </row>
    <row r="316">
      <c r="C316" s="7">
        <v>0.0036342592592592594</v>
      </c>
      <c r="L316" s="5" t="str">
        <f t="array" ref="L316">XLOOKUP(K316,Skills[Action],Skills[Icon],"")</f>
        <v/>
      </c>
      <c r="N316" s="5" t="str">
        <f t="array" ref="N316">XLOOKUP(M316,Skills[Action],Skills[Icon],"")</f>
        <v/>
      </c>
      <c r="P316" s="5" t="str">
        <f t="array" ref="P316">XLOOKUP(O316,Skills[Action],Skills[Icon],"")</f>
        <v/>
      </c>
      <c r="R316" s="5" t="str">
        <f t="array" ref="R316">XLOOKUP(Q316,Skills[Action],Skills[Icon],"")</f>
        <v/>
      </c>
      <c r="T316" s="5" t="str">
        <f t="array" ref="T316">XLOOKUP(S316,Skills[Action],Skills[Icon],"")</f>
        <v/>
      </c>
      <c r="V316" s="5" t="str">
        <f t="array" ref="V316">XLOOKUP(U316,Skills[Action],Skills[Icon],"")</f>
        <v/>
      </c>
    </row>
    <row r="317">
      <c r="C317" s="7">
        <v>0.0036458333333333334</v>
      </c>
      <c r="L317" s="5" t="str">
        <f t="array" ref="L317">XLOOKUP(K317,Skills[Action],Skills[Icon],"")</f>
        <v/>
      </c>
      <c r="N317" s="5" t="str">
        <f t="array" ref="N317">XLOOKUP(M317,Skills[Action],Skills[Icon],"")</f>
        <v/>
      </c>
      <c r="P317" s="5" t="str">
        <f t="array" ref="P317">XLOOKUP(O317,Skills[Action],Skills[Icon],"")</f>
        <v/>
      </c>
      <c r="R317" s="5" t="str">
        <f t="array" ref="R317">XLOOKUP(Q317,Skills[Action],Skills[Icon],"")</f>
        <v/>
      </c>
      <c r="T317" s="5" t="str">
        <f t="array" ref="T317">XLOOKUP(S317,Skills[Action],Skills[Icon],"")</f>
        <v/>
      </c>
      <c r="V317" s="5" t="str">
        <f t="array" ref="V317">XLOOKUP(U317,Skills[Action],Skills[Icon],"")</f>
        <v/>
      </c>
    </row>
    <row r="318">
      <c r="C318" s="7">
        <v>0.0036574074074074074</v>
      </c>
      <c r="L318" s="5" t="str">
        <f t="array" ref="L318">XLOOKUP(K318,Skills[Action],Skills[Icon],"")</f>
        <v/>
      </c>
      <c r="N318" s="5" t="str">
        <f t="array" ref="N318">XLOOKUP(M318,Skills[Action],Skills[Icon],"")</f>
        <v/>
      </c>
      <c r="P318" s="5" t="str">
        <f t="array" ref="P318">XLOOKUP(O318,Skills[Action],Skills[Icon],"")</f>
        <v/>
      </c>
      <c r="R318" s="5" t="str">
        <f t="array" ref="R318">XLOOKUP(Q318,Skills[Action],Skills[Icon],"")</f>
        <v/>
      </c>
      <c r="T318" s="5" t="str">
        <f t="array" ref="T318">XLOOKUP(S318,Skills[Action],Skills[Icon],"")</f>
        <v/>
      </c>
      <c r="V318" s="5" t="str">
        <f t="array" ref="V318">XLOOKUP(U318,Skills[Action],Skills[Icon],"")</f>
        <v/>
      </c>
    </row>
    <row r="319">
      <c r="C319" s="7">
        <v>0.0036689814814814814</v>
      </c>
      <c r="L319" s="5" t="str">
        <f t="array" ref="L319">XLOOKUP(K319,Skills[Action],Skills[Icon],"")</f>
        <v/>
      </c>
      <c r="N319" s="5" t="str">
        <f t="array" ref="N319">XLOOKUP(M319,Skills[Action],Skills[Icon],"")</f>
        <v/>
      </c>
      <c r="P319" s="5" t="str">
        <f t="array" ref="P319">XLOOKUP(O319,Skills[Action],Skills[Icon],"")</f>
        <v/>
      </c>
      <c r="R319" s="5" t="str">
        <f t="array" ref="R319">XLOOKUP(Q319,Skills[Action],Skills[Icon],"")</f>
        <v/>
      </c>
      <c r="T319" s="5" t="str">
        <f t="array" ref="T319">XLOOKUP(S319,Skills[Action],Skills[Icon],"")</f>
        <v/>
      </c>
      <c r="V319" s="5" t="str">
        <f t="array" ref="V319">XLOOKUP(U319,Skills[Action],Skills[Icon],"")</f>
        <v/>
      </c>
    </row>
    <row r="320">
      <c r="C320" s="7">
        <v>0.0036805555555555554</v>
      </c>
      <c r="L320" s="5" t="str">
        <f t="array" ref="L320">XLOOKUP(K320,Skills[Action],Skills[Icon],"")</f>
        <v/>
      </c>
      <c r="N320" s="5" t="str">
        <f t="array" ref="N320">XLOOKUP(M320,Skills[Action],Skills[Icon],"")</f>
        <v/>
      </c>
      <c r="P320" s="5" t="str">
        <f t="array" ref="P320">XLOOKUP(O320,Skills[Action],Skills[Icon],"")</f>
        <v/>
      </c>
      <c r="R320" s="5" t="str">
        <f t="array" ref="R320">XLOOKUP(Q320,Skills[Action],Skills[Icon],"")</f>
        <v/>
      </c>
      <c r="T320" s="5" t="str">
        <f t="array" ref="T320">XLOOKUP(S320,Skills[Action],Skills[Icon],"")</f>
        <v/>
      </c>
      <c r="V320" s="5" t="str">
        <f t="array" ref="V320">XLOOKUP(U320,Skills[Action],Skills[Icon],"")</f>
        <v/>
      </c>
    </row>
    <row r="321">
      <c r="C321" s="7">
        <v>0.00369212962962963</v>
      </c>
      <c r="L321" s="5" t="str">
        <f t="array" ref="L321">XLOOKUP(K321,Skills[Action],Skills[Icon],"")</f>
        <v/>
      </c>
      <c r="N321" s="5" t="str">
        <f t="array" ref="N321">XLOOKUP(M321,Skills[Action],Skills[Icon],"")</f>
        <v/>
      </c>
      <c r="P321" s="5" t="str">
        <f t="array" ref="P321">XLOOKUP(O321,Skills[Action],Skills[Icon],"")</f>
        <v/>
      </c>
      <c r="R321" s="5" t="str">
        <f t="array" ref="R321">XLOOKUP(Q321,Skills[Action],Skills[Icon],"")</f>
        <v/>
      </c>
      <c r="T321" s="5" t="str">
        <f t="array" ref="T321">XLOOKUP(S321,Skills[Action],Skills[Icon],"")</f>
        <v/>
      </c>
      <c r="V321" s="5" t="str">
        <f t="array" ref="V321">XLOOKUP(U321,Skills[Action],Skills[Icon],"")</f>
        <v/>
      </c>
    </row>
    <row r="322">
      <c r="C322" s="7">
        <v>0.003703703703703704</v>
      </c>
      <c r="L322" s="5" t="str">
        <f t="array" ref="L322">XLOOKUP(K322,Skills[Action],Skills[Icon],"")</f>
        <v/>
      </c>
      <c r="N322" s="5" t="str">
        <f t="array" ref="N322">XLOOKUP(M322,Skills[Action],Skills[Icon],"")</f>
        <v/>
      </c>
      <c r="P322" s="5" t="str">
        <f t="array" ref="P322">XLOOKUP(O322,Skills[Action],Skills[Icon],"")</f>
        <v/>
      </c>
      <c r="R322" s="5" t="str">
        <f t="array" ref="R322">XLOOKUP(Q322,Skills[Action],Skills[Icon],"")</f>
        <v/>
      </c>
      <c r="T322" s="5" t="str">
        <f t="array" ref="T322">XLOOKUP(S322,Skills[Action],Skills[Icon],"")</f>
        <v/>
      </c>
      <c r="V322" s="5" t="str">
        <f t="array" ref="V322">XLOOKUP(U322,Skills[Action],Skills[Icon],"")</f>
        <v/>
      </c>
    </row>
    <row r="323">
      <c r="C323" s="7">
        <v>0.003715277777777778</v>
      </c>
      <c r="L323" s="5" t="str">
        <f t="array" ref="L323">XLOOKUP(K323,Skills[Action],Skills[Icon],"")</f>
        <v/>
      </c>
      <c r="N323" s="5" t="str">
        <f t="array" ref="N323">XLOOKUP(M323,Skills[Action],Skills[Icon],"")</f>
        <v/>
      </c>
      <c r="P323" s="5" t="str">
        <f t="array" ref="P323">XLOOKUP(O323,Skills[Action],Skills[Icon],"")</f>
        <v/>
      </c>
      <c r="R323" s="5" t="str">
        <f t="array" ref="R323">XLOOKUP(Q323,Skills[Action],Skills[Icon],"")</f>
        <v/>
      </c>
      <c r="T323" s="5" t="str">
        <f t="array" ref="T323">XLOOKUP(S323,Skills[Action],Skills[Icon],"")</f>
        <v/>
      </c>
      <c r="V323" s="5" t="str">
        <f t="array" ref="V323">XLOOKUP(U323,Skills[Action],Skills[Icon],"")</f>
        <v/>
      </c>
    </row>
    <row r="324">
      <c r="C324" s="7">
        <v>0.003726851851851852</v>
      </c>
      <c r="L324" s="5" t="str">
        <f t="array" ref="L324">XLOOKUP(K324,Skills[Action],Skills[Icon],"")</f>
        <v/>
      </c>
      <c r="N324" s="5" t="str">
        <f t="array" ref="N324">XLOOKUP(M324,Skills[Action],Skills[Icon],"")</f>
        <v/>
      </c>
      <c r="P324" s="5" t="str">
        <f t="array" ref="P324">XLOOKUP(O324,Skills[Action],Skills[Icon],"")</f>
        <v/>
      </c>
      <c r="R324" s="5" t="str">
        <f t="array" ref="R324">XLOOKUP(Q324,Skills[Action],Skills[Icon],"")</f>
        <v/>
      </c>
      <c r="T324" s="5" t="str">
        <f t="array" ref="T324">XLOOKUP(S324,Skills[Action],Skills[Icon],"")</f>
        <v/>
      </c>
      <c r="V324" s="5" t="str">
        <f t="array" ref="V324">XLOOKUP(U324,Skills[Action],Skills[Icon],"")</f>
        <v/>
      </c>
    </row>
    <row r="325">
      <c r="C325" s="7">
        <v>0.003738425925925926</v>
      </c>
      <c r="L325" s="5" t="str">
        <f t="array" ref="L325">XLOOKUP(K325,Skills[Action],Skills[Icon],"")</f>
        <v/>
      </c>
      <c r="N325" s="5" t="str">
        <f t="array" ref="N325">XLOOKUP(M325,Skills[Action],Skills[Icon],"")</f>
        <v/>
      </c>
      <c r="P325" s="5" t="str">
        <f t="array" ref="P325">XLOOKUP(O325,Skills[Action],Skills[Icon],"")</f>
        <v/>
      </c>
      <c r="R325" s="5" t="str">
        <f t="array" ref="R325">XLOOKUP(Q325,Skills[Action],Skills[Icon],"")</f>
        <v/>
      </c>
      <c r="T325" s="5" t="str">
        <f t="array" ref="T325">XLOOKUP(S325,Skills[Action],Skills[Icon],"")</f>
        <v/>
      </c>
      <c r="V325" s="5" t="str">
        <f t="array" ref="V325">XLOOKUP(U325,Skills[Action],Skills[Icon],"")</f>
        <v/>
      </c>
    </row>
    <row r="326">
      <c r="C326" s="7">
        <v>0.00375</v>
      </c>
      <c r="L326" s="5" t="str">
        <f t="array" ref="L326">XLOOKUP(K326,Skills[Action],Skills[Icon],"")</f>
        <v/>
      </c>
      <c r="N326" s="5" t="str">
        <f t="array" ref="N326">XLOOKUP(M326,Skills[Action],Skills[Icon],"")</f>
        <v/>
      </c>
      <c r="P326" s="5" t="str">
        <f t="array" ref="P326">XLOOKUP(O326,Skills[Action],Skills[Icon],"")</f>
        <v/>
      </c>
      <c r="R326" s="5" t="str">
        <f t="array" ref="R326">XLOOKUP(Q326,Skills[Action],Skills[Icon],"")</f>
        <v/>
      </c>
      <c r="T326" s="5" t="str">
        <f t="array" ref="T326">XLOOKUP(S326,Skills[Action],Skills[Icon],"")</f>
        <v/>
      </c>
      <c r="V326" s="5" t="str">
        <f t="array" ref="V326">XLOOKUP(U326,Skills[Action],Skills[Icon],"")</f>
        <v/>
      </c>
    </row>
    <row r="327">
      <c r="C327" s="7">
        <v>0.003761574074074074</v>
      </c>
      <c r="L327" s="5" t="str">
        <f t="array" ref="L327">XLOOKUP(K327,Skills[Action],Skills[Icon],"")</f>
        <v/>
      </c>
      <c r="N327" s="5" t="str">
        <f t="array" ref="N327">XLOOKUP(M327,Skills[Action],Skills[Icon],"")</f>
        <v/>
      </c>
      <c r="P327" s="5" t="str">
        <f t="array" ref="P327">XLOOKUP(O327,Skills[Action],Skills[Icon],"")</f>
        <v/>
      </c>
      <c r="R327" s="5" t="str">
        <f t="array" ref="R327">XLOOKUP(Q327,Skills[Action],Skills[Icon],"")</f>
        <v/>
      </c>
      <c r="T327" s="5" t="str">
        <f t="array" ref="T327">XLOOKUP(S327,Skills[Action],Skills[Icon],"")</f>
        <v/>
      </c>
      <c r="V327" s="5" t="str">
        <f t="array" ref="V327">XLOOKUP(U327,Skills[Action],Skills[Icon],"")</f>
        <v/>
      </c>
    </row>
    <row r="328">
      <c r="C328" s="7">
        <v>0.0037731481481481483</v>
      </c>
      <c r="L328" s="5" t="str">
        <f t="array" ref="L328">XLOOKUP(K328,Skills[Action],Skills[Icon],"")</f>
        <v/>
      </c>
      <c r="N328" s="5" t="str">
        <f t="array" ref="N328">XLOOKUP(M328,Skills[Action],Skills[Icon],"")</f>
        <v/>
      </c>
      <c r="P328" s="5" t="str">
        <f t="array" ref="P328">XLOOKUP(O328,Skills[Action],Skills[Icon],"")</f>
        <v/>
      </c>
      <c r="R328" s="5" t="str">
        <f t="array" ref="R328">XLOOKUP(Q328,Skills[Action],Skills[Icon],"")</f>
        <v/>
      </c>
      <c r="T328" s="5" t="str">
        <f t="array" ref="T328">XLOOKUP(S328,Skills[Action],Skills[Icon],"")</f>
        <v/>
      </c>
      <c r="V328" s="5" t="str">
        <f t="array" ref="V328">XLOOKUP(U328,Skills[Action],Skills[Icon],"")</f>
        <v/>
      </c>
    </row>
    <row r="329">
      <c r="C329" s="7">
        <v>0.0037847222222222223</v>
      </c>
      <c r="L329" s="5" t="str">
        <f t="array" ref="L329">XLOOKUP(K329,Skills[Action],Skills[Icon],"")</f>
        <v/>
      </c>
      <c r="N329" s="5" t="str">
        <f t="array" ref="N329">XLOOKUP(M329,Skills[Action],Skills[Icon],"")</f>
        <v/>
      </c>
      <c r="P329" s="5" t="str">
        <f t="array" ref="P329">XLOOKUP(O329,Skills[Action],Skills[Icon],"")</f>
        <v/>
      </c>
      <c r="R329" s="5" t="str">
        <f t="array" ref="R329">XLOOKUP(Q329,Skills[Action],Skills[Icon],"")</f>
        <v/>
      </c>
      <c r="T329" s="5" t="str">
        <f t="array" ref="T329">XLOOKUP(S329,Skills[Action],Skills[Icon],"")</f>
        <v/>
      </c>
      <c r="V329" s="5" t="str">
        <f t="array" ref="V329">XLOOKUP(U329,Skills[Action],Skills[Icon],"")</f>
        <v/>
      </c>
    </row>
    <row r="330">
      <c r="C330" s="7">
        <v>0.0037962962962962963</v>
      </c>
      <c r="L330" s="5" t="str">
        <f t="array" ref="L330">XLOOKUP(K330,Skills[Action],Skills[Icon],"")</f>
        <v/>
      </c>
      <c r="N330" s="5" t="str">
        <f t="array" ref="N330">XLOOKUP(M330,Skills[Action],Skills[Icon],"")</f>
        <v/>
      </c>
      <c r="P330" s="5" t="str">
        <f t="array" ref="P330">XLOOKUP(O330,Skills[Action],Skills[Icon],"")</f>
        <v/>
      </c>
      <c r="R330" s="5" t="str">
        <f t="array" ref="R330">XLOOKUP(Q330,Skills[Action],Skills[Icon],"")</f>
        <v/>
      </c>
      <c r="T330" s="5" t="str">
        <f t="array" ref="T330">XLOOKUP(S330,Skills[Action],Skills[Icon],"")</f>
        <v/>
      </c>
      <c r="V330" s="5" t="str">
        <f t="array" ref="V330">XLOOKUP(U330,Skills[Action],Skills[Icon],"")</f>
        <v/>
      </c>
    </row>
    <row r="331">
      <c r="C331" s="7">
        <v>0.0038078703703703703</v>
      </c>
      <c r="L331" s="5" t="str">
        <f t="array" ref="L331">XLOOKUP(K331,Skills[Action],Skills[Icon],"")</f>
        <v/>
      </c>
      <c r="N331" s="5" t="str">
        <f t="array" ref="N331">XLOOKUP(M331,Skills[Action],Skills[Icon],"")</f>
        <v/>
      </c>
      <c r="P331" s="5" t="str">
        <f t="array" ref="P331">XLOOKUP(O331,Skills[Action],Skills[Icon],"")</f>
        <v/>
      </c>
      <c r="R331" s="5" t="str">
        <f t="array" ref="R331">XLOOKUP(Q331,Skills[Action],Skills[Icon],"")</f>
        <v/>
      </c>
      <c r="T331" s="5" t="str">
        <f t="array" ref="T331">XLOOKUP(S331,Skills[Action],Skills[Icon],"")</f>
        <v/>
      </c>
      <c r="V331" s="5" t="str">
        <f t="array" ref="V331">XLOOKUP(U331,Skills[Action],Skills[Icon],"")</f>
        <v/>
      </c>
    </row>
    <row r="332">
      <c r="C332" s="7">
        <v>0.0038194444444444443</v>
      </c>
      <c r="L332" s="5" t="str">
        <f t="array" ref="L332">XLOOKUP(K332,Skills[Action],Skills[Icon],"")</f>
        <v/>
      </c>
      <c r="N332" s="5" t="str">
        <f t="array" ref="N332">XLOOKUP(M332,Skills[Action],Skills[Icon],"")</f>
        <v/>
      </c>
      <c r="P332" s="5" t="str">
        <f t="array" ref="P332">XLOOKUP(O332,Skills[Action],Skills[Icon],"")</f>
        <v/>
      </c>
      <c r="R332" s="5" t="str">
        <f t="array" ref="R332">XLOOKUP(Q332,Skills[Action],Skills[Icon],"")</f>
        <v/>
      </c>
      <c r="T332" s="5" t="str">
        <f t="array" ref="T332">XLOOKUP(S332,Skills[Action],Skills[Icon],"")</f>
        <v/>
      </c>
      <c r="V332" s="5" t="str">
        <f t="array" ref="V332">XLOOKUP(U332,Skills[Action],Skills[Icon],"")</f>
        <v/>
      </c>
    </row>
    <row r="333">
      <c r="C333" s="7">
        <v>0.0038310185185185183</v>
      </c>
      <c r="L333" s="5" t="str">
        <f t="array" ref="L333">XLOOKUP(K333,Skills[Action],Skills[Icon],"")</f>
        <v/>
      </c>
      <c r="N333" s="5" t="str">
        <f t="array" ref="N333">XLOOKUP(M333,Skills[Action],Skills[Icon],"")</f>
        <v/>
      </c>
      <c r="P333" s="5" t="str">
        <f t="array" ref="P333">XLOOKUP(O333,Skills[Action],Skills[Icon],"")</f>
        <v/>
      </c>
      <c r="R333" s="5" t="str">
        <f t="array" ref="R333">XLOOKUP(Q333,Skills[Action],Skills[Icon],"")</f>
        <v/>
      </c>
      <c r="T333" s="5" t="str">
        <f t="array" ref="T333">XLOOKUP(S333,Skills[Action],Skills[Icon],"")</f>
        <v/>
      </c>
      <c r="V333" s="5" t="str">
        <f t="array" ref="V333">XLOOKUP(U333,Skills[Action],Skills[Icon],"")</f>
        <v/>
      </c>
    </row>
    <row r="334">
      <c r="C334" s="7">
        <v>0.0038425925925925928</v>
      </c>
      <c r="L334" s="5" t="str">
        <f t="array" ref="L334">XLOOKUP(K334,Skills[Action],Skills[Icon],"")</f>
        <v/>
      </c>
      <c r="N334" s="5" t="str">
        <f t="array" ref="N334">XLOOKUP(M334,Skills[Action],Skills[Icon],"")</f>
        <v/>
      </c>
      <c r="P334" s="5" t="str">
        <f t="array" ref="P334">XLOOKUP(O334,Skills[Action],Skills[Icon],"")</f>
        <v/>
      </c>
      <c r="R334" s="5" t="str">
        <f t="array" ref="R334">XLOOKUP(Q334,Skills[Action],Skills[Icon],"")</f>
        <v/>
      </c>
      <c r="T334" s="5" t="str">
        <f t="array" ref="T334">XLOOKUP(S334,Skills[Action],Skills[Icon],"")</f>
        <v/>
      </c>
      <c r="V334" s="5" t="str">
        <f t="array" ref="V334">XLOOKUP(U334,Skills[Action],Skills[Icon],"")</f>
        <v/>
      </c>
    </row>
    <row r="335">
      <c r="C335" s="7">
        <v>0.0038541666666666668</v>
      </c>
      <c r="L335" s="5" t="str">
        <f t="array" ref="L335">XLOOKUP(K335,Skills[Action],Skills[Icon],"")</f>
        <v/>
      </c>
      <c r="N335" s="5" t="str">
        <f t="array" ref="N335">XLOOKUP(M335,Skills[Action],Skills[Icon],"")</f>
        <v/>
      </c>
      <c r="P335" s="5" t="str">
        <f t="array" ref="P335">XLOOKUP(O335,Skills[Action],Skills[Icon],"")</f>
        <v/>
      </c>
      <c r="R335" s="5" t="str">
        <f t="array" ref="R335">XLOOKUP(Q335,Skills[Action],Skills[Icon],"")</f>
        <v/>
      </c>
      <c r="T335" s="5" t="str">
        <f t="array" ref="T335">XLOOKUP(S335,Skills[Action],Skills[Icon],"")</f>
        <v/>
      </c>
      <c r="V335" s="5" t="str">
        <f t="array" ref="V335">XLOOKUP(U335,Skills[Action],Skills[Icon],"")</f>
        <v/>
      </c>
    </row>
    <row r="336">
      <c r="C336" s="7">
        <v>0.0038657407407407408</v>
      </c>
      <c r="L336" s="5" t="str">
        <f t="array" ref="L336">XLOOKUP(K336,Skills[Action],Skills[Icon],"")</f>
        <v/>
      </c>
      <c r="N336" s="5" t="str">
        <f t="array" ref="N336">XLOOKUP(M336,Skills[Action],Skills[Icon],"")</f>
        <v/>
      </c>
      <c r="P336" s="5" t="str">
        <f t="array" ref="P336">XLOOKUP(O336,Skills[Action],Skills[Icon],"")</f>
        <v/>
      </c>
      <c r="R336" s="5" t="str">
        <f t="array" ref="R336">XLOOKUP(Q336,Skills[Action],Skills[Icon],"")</f>
        <v/>
      </c>
      <c r="T336" s="5" t="str">
        <f t="array" ref="T336">XLOOKUP(S336,Skills[Action],Skills[Icon],"")</f>
        <v/>
      </c>
      <c r="V336" s="5" t="str">
        <f t="array" ref="V336">XLOOKUP(U336,Skills[Action],Skills[Icon],"")</f>
        <v/>
      </c>
    </row>
    <row r="337">
      <c r="C337" s="7">
        <v>0.0038773148148148148</v>
      </c>
      <c r="L337" s="5" t="str">
        <f t="array" ref="L337">XLOOKUP(K337,Skills[Action],Skills[Icon],"")</f>
        <v/>
      </c>
      <c r="N337" s="5" t="str">
        <f t="array" ref="N337">XLOOKUP(M337,Skills[Action],Skills[Icon],"")</f>
        <v/>
      </c>
      <c r="P337" s="5" t="str">
        <f t="array" ref="P337">XLOOKUP(O337,Skills[Action],Skills[Icon],"")</f>
        <v/>
      </c>
      <c r="R337" s="5" t="str">
        <f t="array" ref="R337">XLOOKUP(Q337,Skills[Action],Skills[Icon],"")</f>
        <v/>
      </c>
      <c r="T337" s="5" t="str">
        <f t="array" ref="T337">XLOOKUP(S337,Skills[Action],Skills[Icon],"")</f>
        <v/>
      </c>
      <c r="V337" s="5" t="str">
        <f t="array" ref="V337">XLOOKUP(U337,Skills[Action],Skills[Icon],"")</f>
        <v/>
      </c>
    </row>
    <row r="338">
      <c r="C338" s="7">
        <v>0.0038888888888888888</v>
      </c>
      <c r="L338" s="5" t="str">
        <f t="array" ref="L338">XLOOKUP(K338,Skills[Action],Skills[Icon],"")</f>
        <v/>
      </c>
      <c r="N338" s="5" t="str">
        <f t="array" ref="N338">XLOOKUP(M338,Skills[Action],Skills[Icon],"")</f>
        <v/>
      </c>
      <c r="P338" s="5" t="str">
        <f t="array" ref="P338">XLOOKUP(O338,Skills[Action],Skills[Icon],"")</f>
        <v/>
      </c>
      <c r="R338" s="5" t="str">
        <f t="array" ref="R338">XLOOKUP(Q338,Skills[Action],Skills[Icon],"")</f>
        <v/>
      </c>
      <c r="T338" s="5" t="str">
        <f t="array" ref="T338">XLOOKUP(S338,Skills[Action],Skills[Icon],"")</f>
        <v/>
      </c>
      <c r="V338" s="5" t="str">
        <f t="array" ref="V338">XLOOKUP(U338,Skills[Action],Skills[Icon],"")</f>
        <v/>
      </c>
    </row>
    <row r="339">
      <c r="C339" s="7">
        <v>0.0039004629629629628</v>
      </c>
      <c r="L339" s="5" t="str">
        <f t="array" ref="L339">XLOOKUP(K339,Skills[Action],Skills[Icon],"")</f>
        <v/>
      </c>
      <c r="N339" s="5" t="str">
        <f t="array" ref="N339">XLOOKUP(M339,Skills[Action],Skills[Icon],"")</f>
        <v/>
      </c>
      <c r="P339" s="5" t="str">
        <f t="array" ref="P339">XLOOKUP(O339,Skills[Action],Skills[Icon],"")</f>
        <v/>
      </c>
      <c r="R339" s="5" t="str">
        <f t="array" ref="R339">XLOOKUP(Q339,Skills[Action],Skills[Icon],"")</f>
        <v/>
      </c>
      <c r="T339" s="5" t="str">
        <f t="array" ref="T339">XLOOKUP(S339,Skills[Action],Skills[Icon],"")</f>
        <v/>
      </c>
      <c r="V339" s="5" t="str">
        <f t="array" ref="V339">XLOOKUP(U339,Skills[Action],Skills[Icon],"")</f>
        <v/>
      </c>
    </row>
    <row r="340">
      <c r="C340" s="7">
        <v>0.003912037037037037</v>
      </c>
      <c r="L340" s="5" t="str">
        <f t="array" ref="L340">XLOOKUP(K340,Skills[Action],Skills[Icon],"")</f>
        <v/>
      </c>
      <c r="N340" s="5" t="str">
        <f t="array" ref="N340">XLOOKUP(M340,Skills[Action],Skills[Icon],"")</f>
        <v/>
      </c>
      <c r="P340" s="5" t="str">
        <f t="array" ref="P340">XLOOKUP(O340,Skills[Action],Skills[Icon],"")</f>
        <v/>
      </c>
      <c r="R340" s="5" t="str">
        <f t="array" ref="R340">XLOOKUP(Q340,Skills[Action],Skills[Icon],"")</f>
        <v/>
      </c>
      <c r="T340" s="5" t="str">
        <f t="array" ref="T340">XLOOKUP(S340,Skills[Action],Skills[Icon],"")</f>
        <v/>
      </c>
      <c r="V340" s="5" t="str">
        <f t="array" ref="V340">XLOOKUP(U340,Skills[Action],Skills[Icon],"")</f>
        <v/>
      </c>
    </row>
    <row r="341">
      <c r="C341" s="7">
        <v>0.003923611111111111</v>
      </c>
      <c r="L341" s="5" t="str">
        <f t="array" ref="L341">XLOOKUP(K341,Skills[Action],Skills[Icon],"")</f>
        <v/>
      </c>
      <c r="N341" s="5" t="str">
        <f t="array" ref="N341">XLOOKUP(M341,Skills[Action],Skills[Icon],"")</f>
        <v/>
      </c>
      <c r="P341" s="5" t="str">
        <f t="array" ref="P341">XLOOKUP(O341,Skills[Action],Skills[Icon],"")</f>
        <v/>
      </c>
      <c r="R341" s="5" t="str">
        <f t="array" ref="R341">XLOOKUP(Q341,Skills[Action],Skills[Icon],"")</f>
        <v/>
      </c>
      <c r="T341" s="5" t="str">
        <f t="array" ref="T341">XLOOKUP(S341,Skills[Action],Skills[Icon],"")</f>
        <v/>
      </c>
      <c r="V341" s="5" t="str">
        <f t="array" ref="V341">XLOOKUP(U341,Skills[Action],Skills[Icon],"")</f>
        <v/>
      </c>
    </row>
    <row r="342">
      <c r="C342" s="7">
        <v>0.003935185185185185</v>
      </c>
      <c r="L342" s="5" t="str">
        <f t="array" ref="L342">XLOOKUP(K342,Skills[Action],Skills[Icon],"")</f>
        <v/>
      </c>
      <c r="N342" s="5" t="str">
        <f t="array" ref="N342">XLOOKUP(M342,Skills[Action],Skills[Icon],"")</f>
        <v/>
      </c>
      <c r="P342" s="5" t="str">
        <f t="array" ref="P342">XLOOKUP(O342,Skills[Action],Skills[Icon],"")</f>
        <v/>
      </c>
      <c r="R342" s="5" t="str">
        <f t="array" ref="R342">XLOOKUP(Q342,Skills[Action],Skills[Icon],"")</f>
        <v/>
      </c>
      <c r="T342" s="5" t="str">
        <f t="array" ref="T342">XLOOKUP(S342,Skills[Action],Skills[Icon],"")</f>
        <v/>
      </c>
      <c r="V342" s="5" t="str">
        <f t="array" ref="V342">XLOOKUP(U342,Skills[Action],Skills[Icon],"")</f>
        <v/>
      </c>
    </row>
    <row r="343">
      <c r="C343" s="7">
        <v>0.003946759259259259</v>
      </c>
      <c r="L343" s="5" t="str">
        <f t="array" ref="L343">XLOOKUP(K343,Skills[Action],Skills[Icon],"")</f>
        <v/>
      </c>
      <c r="N343" s="5" t="str">
        <f t="array" ref="N343">XLOOKUP(M343,Skills[Action],Skills[Icon],"")</f>
        <v/>
      </c>
      <c r="P343" s="5" t="str">
        <f t="array" ref="P343">XLOOKUP(O343,Skills[Action],Skills[Icon],"")</f>
        <v/>
      </c>
      <c r="R343" s="5" t="str">
        <f t="array" ref="R343">XLOOKUP(Q343,Skills[Action],Skills[Icon],"")</f>
        <v/>
      </c>
      <c r="T343" s="5" t="str">
        <f t="array" ref="T343">XLOOKUP(S343,Skills[Action],Skills[Icon],"")</f>
        <v/>
      </c>
      <c r="V343" s="5" t="str">
        <f t="array" ref="V343">XLOOKUP(U343,Skills[Action],Skills[Icon],"")</f>
        <v/>
      </c>
    </row>
    <row r="344">
      <c r="C344" s="7">
        <v>0.003958333333333334</v>
      </c>
      <c r="L344" s="5" t="str">
        <f t="array" ref="L344">XLOOKUP(K344,Skills[Action],Skills[Icon],"")</f>
        <v/>
      </c>
      <c r="N344" s="5" t="str">
        <f t="array" ref="N344">XLOOKUP(M344,Skills[Action],Skills[Icon],"")</f>
        <v/>
      </c>
      <c r="P344" s="5" t="str">
        <f t="array" ref="P344">XLOOKUP(O344,Skills[Action],Skills[Icon],"")</f>
        <v/>
      </c>
      <c r="R344" s="5" t="str">
        <f t="array" ref="R344">XLOOKUP(Q344,Skills[Action],Skills[Icon],"")</f>
        <v/>
      </c>
      <c r="T344" s="5" t="str">
        <f t="array" ref="T344">XLOOKUP(S344,Skills[Action],Skills[Icon],"")</f>
        <v/>
      </c>
      <c r="V344" s="5" t="str">
        <f t="array" ref="V344">XLOOKUP(U344,Skills[Action],Skills[Icon],"")</f>
        <v/>
      </c>
    </row>
    <row r="345">
      <c r="C345" s="7">
        <v>0.003969907407407407</v>
      </c>
      <c r="L345" s="5" t="str">
        <f t="array" ref="L345">XLOOKUP(K345,Skills[Action],Skills[Icon],"")</f>
        <v/>
      </c>
      <c r="N345" s="5" t="str">
        <f t="array" ref="N345">XLOOKUP(M345,Skills[Action],Skills[Icon],"")</f>
        <v/>
      </c>
      <c r="P345" s="5" t="str">
        <f t="array" ref="P345">XLOOKUP(O345,Skills[Action],Skills[Icon],"")</f>
        <v/>
      </c>
      <c r="R345" s="5" t="str">
        <f t="array" ref="R345">XLOOKUP(Q345,Skills[Action],Skills[Icon],"")</f>
        <v/>
      </c>
      <c r="T345" s="5" t="str">
        <f t="array" ref="T345">XLOOKUP(S345,Skills[Action],Skills[Icon],"")</f>
        <v/>
      </c>
      <c r="V345" s="5" t="str">
        <f t="array" ref="V345">XLOOKUP(U345,Skills[Action],Skills[Icon],"")</f>
        <v/>
      </c>
    </row>
    <row r="346">
      <c r="C346" s="7">
        <v>0.003981481481481482</v>
      </c>
      <c r="L346" s="5" t="str">
        <f t="array" ref="L346">XLOOKUP(K346,Skills[Action],Skills[Icon],"")</f>
        <v/>
      </c>
      <c r="N346" s="5" t="str">
        <f t="array" ref="N346">XLOOKUP(M346,Skills[Action],Skills[Icon],"")</f>
        <v/>
      </c>
      <c r="P346" s="5" t="str">
        <f t="array" ref="P346">XLOOKUP(O346,Skills[Action],Skills[Icon],"")</f>
        <v/>
      </c>
      <c r="R346" s="5" t="str">
        <f t="array" ref="R346">XLOOKUP(Q346,Skills[Action],Skills[Icon],"")</f>
        <v/>
      </c>
      <c r="T346" s="5" t="str">
        <f t="array" ref="T346">XLOOKUP(S346,Skills[Action],Skills[Icon],"")</f>
        <v/>
      </c>
      <c r="V346" s="5" t="str">
        <f t="array" ref="V346">XLOOKUP(U346,Skills[Action],Skills[Icon],"")</f>
        <v/>
      </c>
    </row>
    <row r="347">
      <c r="C347" s="7">
        <v>0.003993055555555555</v>
      </c>
      <c r="L347" s="5" t="str">
        <f t="array" ref="L347">XLOOKUP(K347,Skills[Action],Skills[Icon],"")</f>
        <v/>
      </c>
      <c r="N347" s="5" t="str">
        <f t="array" ref="N347">XLOOKUP(M347,Skills[Action],Skills[Icon],"")</f>
        <v/>
      </c>
      <c r="P347" s="5" t="str">
        <f t="array" ref="P347">XLOOKUP(O347,Skills[Action],Skills[Icon],"")</f>
        <v/>
      </c>
      <c r="R347" s="5" t="str">
        <f t="array" ref="R347">XLOOKUP(Q347,Skills[Action],Skills[Icon],"")</f>
        <v/>
      </c>
      <c r="T347" s="5" t="str">
        <f t="array" ref="T347">XLOOKUP(S347,Skills[Action],Skills[Icon],"")</f>
        <v/>
      </c>
      <c r="V347" s="5" t="str">
        <f t="array" ref="V347">XLOOKUP(U347,Skills[Action],Skills[Icon],"")</f>
        <v/>
      </c>
    </row>
    <row r="348">
      <c r="C348" s="7">
        <v>0.00400462962962963</v>
      </c>
      <c r="L348" s="5" t="str">
        <f t="array" ref="L348">XLOOKUP(K348,Skills[Action],Skills[Icon],"")</f>
        <v/>
      </c>
      <c r="N348" s="5" t="str">
        <f t="array" ref="N348">XLOOKUP(M348,Skills[Action],Skills[Icon],"")</f>
        <v/>
      </c>
      <c r="P348" s="5" t="str">
        <f t="array" ref="P348">XLOOKUP(O348,Skills[Action],Skills[Icon],"")</f>
        <v/>
      </c>
      <c r="R348" s="5" t="str">
        <f t="array" ref="R348">XLOOKUP(Q348,Skills[Action],Skills[Icon],"")</f>
        <v/>
      </c>
      <c r="T348" s="5" t="str">
        <f t="array" ref="T348">XLOOKUP(S348,Skills[Action],Skills[Icon],"")</f>
        <v/>
      </c>
      <c r="V348" s="5" t="str">
        <f t="array" ref="V348">XLOOKUP(U348,Skills[Action],Skills[Icon],"")</f>
        <v/>
      </c>
    </row>
    <row r="349">
      <c r="C349" s="7">
        <v>0.004016203703703704</v>
      </c>
      <c r="L349" s="5" t="str">
        <f t="array" ref="L349">XLOOKUP(K349,Skills[Action],Skills[Icon],"")</f>
        <v/>
      </c>
      <c r="N349" s="5" t="str">
        <f t="array" ref="N349">XLOOKUP(M349,Skills[Action],Skills[Icon],"")</f>
        <v/>
      </c>
      <c r="P349" s="5" t="str">
        <f t="array" ref="P349">XLOOKUP(O349,Skills[Action],Skills[Icon],"")</f>
        <v/>
      </c>
      <c r="R349" s="5" t="str">
        <f t="array" ref="R349">XLOOKUP(Q349,Skills[Action],Skills[Icon],"")</f>
        <v/>
      </c>
      <c r="T349" s="5" t="str">
        <f t="array" ref="T349">XLOOKUP(S349,Skills[Action],Skills[Icon],"")</f>
        <v/>
      </c>
      <c r="V349" s="5" t="str">
        <f t="array" ref="V349">XLOOKUP(U349,Skills[Action],Skills[Icon],"")</f>
        <v/>
      </c>
    </row>
    <row r="350">
      <c r="C350" s="7">
        <v>0.004027777777777778</v>
      </c>
      <c r="L350" s="5" t="str">
        <f t="array" ref="L350">XLOOKUP(K350,Skills[Action],Skills[Icon],"")</f>
        <v/>
      </c>
      <c r="N350" s="5" t="str">
        <f t="array" ref="N350">XLOOKUP(M350,Skills[Action],Skills[Icon],"")</f>
        <v/>
      </c>
      <c r="P350" s="5" t="str">
        <f t="array" ref="P350">XLOOKUP(O350,Skills[Action],Skills[Icon],"")</f>
        <v/>
      </c>
      <c r="R350" s="5" t="str">
        <f t="array" ref="R350">XLOOKUP(Q350,Skills[Action],Skills[Icon],"")</f>
        <v/>
      </c>
      <c r="T350" s="5" t="str">
        <f t="array" ref="T350">XLOOKUP(S350,Skills[Action],Skills[Icon],"")</f>
        <v/>
      </c>
      <c r="V350" s="5" t="str">
        <f t="array" ref="V350">XLOOKUP(U350,Skills[Action],Skills[Icon],"")</f>
        <v/>
      </c>
    </row>
    <row r="351">
      <c r="C351" s="7">
        <v>0.004039351851851852</v>
      </c>
      <c r="L351" s="5" t="str">
        <f t="array" ref="L351">XLOOKUP(K351,Skills[Action],Skills[Icon],"")</f>
        <v/>
      </c>
      <c r="N351" s="5" t="str">
        <f t="array" ref="N351">XLOOKUP(M351,Skills[Action],Skills[Icon],"")</f>
        <v/>
      </c>
      <c r="P351" s="5" t="str">
        <f t="array" ref="P351">XLOOKUP(O351,Skills[Action],Skills[Icon],"")</f>
        <v/>
      </c>
      <c r="R351" s="5" t="str">
        <f t="array" ref="R351">XLOOKUP(Q351,Skills[Action],Skills[Icon],"")</f>
        <v/>
      </c>
      <c r="T351" s="5" t="str">
        <f t="array" ref="T351">XLOOKUP(S351,Skills[Action],Skills[Icon],"")</f>
        <v/>
      </c>
      <c r="V351" s="5" t="str">
        <f t="array" ref="V351">XLOOKUP(U351,Skills[Action],Skills[Icon],"")</f>
        <v/>
      </c>
    </row>
    <row r="352">
      <c r="C352" s="7">
        <v>0.004050925925925926</v>
      </c>
      <c r="L352" s="5" t="str">
        <f t="array" ref="L352">XLOOKUP(K352,Skills[Action],Skills[Icon],"")</f>
        <v/>
      </c>
      <c r="N352" s="5" t="str">
        <f t="array" ref="N352">XLOOKUP(M352,Skills[Action],Skills[Icon],"")</f>
        <v/>
      </c>
      <c r="P352" s="5" t="str">
        <f t="array" ref="P352">XLOOKUP(O352,Skills[Action],Skills[Icon],"")</f>
        <v/>
      </c>
      <c r="R352" s="5" t="str">
        <f t="array" ref="R352">XLOOKUP(Q352,Skills[Action],Skills[Icon],"")</f>
        <v/>
      </c>
      <c r="T352" s="5" t="str">
        <f t="array" ref="T352">XLOOKUP(S352,Skills[Action],Skills[Icon],"")</f>
        <v/>
      </c>
      <c r="V352" s="5" t="str">
        <f t="array" ref="V352">XLOOKUP(U352,Skills[Action],Skills[Icon],"")</f>
        <v/>
      </c>
    </row>
    <row r="353">
      <c r="C353" s="7">
        <v>0.0040625</v>
      </c>
      <c r="L353" s="5" t="str">
        <f t="array" ref="L353">XLOOKUP(K353,Skills[Action],Skills[Icon],"")</f>
        <v/>
      </c>
      <c r="N353" s="5" t="str">
        <f t="array" ref="N353">XLOOKUP(M353,Skills[Action],Skills[Icon],"")</f>
        <v/>
      </c>
      <c r="P353" s="5" t="str">
        <f t="array" ref="P353">XLOOKUP(O353,Skills[Action],Skills[Icon],"")</f>
        <v/>
      </c>
      <c r="R353" s="5" t="str">
        <f t="array" ref="R353">XLOOKUP(Q353,Skills[Action],Skills[Icon],"")</f>
        <v/>
      </c>
      <c r="T353" s="5" t="str">
        <f t="array" ref="T353">XLOOKUP(S353,Skills[Action],Skills[Icon],"")</f>
        <v/>
      </c>
      <c r="V353" s="5" t="str">
        <f t="array" ref="V353">XLOOKUP(U353,Skills[Action],Skills[Icon],"")</f>
        <v/>
      </c>
    </row>
    <row r="354">
      <c r="C354" s="7">
        <v>0.004074074074074074</v>
      </c>
      <c r="L354" s="5" t="str">
        <f t="array" ref="L354">XLOOKUP(K354,Skills[Action],Skills[Icon],"")</f>
        <v/>
      </c>
      <c r="N354" s="5" t="str">
        <f t="array" ref="N354">XLOOKUP(M354,Skills[Action],Skills[Icon],"")</f>
        <v/>
      </c>
      <c r="P354" s="5" t="str">
        <f t="array" ref="P354">XLOOKUP(O354,Skills[Action],Skills[Icon],"")</f>
        <v/>
      </c>
      <c r="R354" s="5" t="str">
        <f t="array" ref="R354">XLOOKUP(Q354,Skills[Action],Skills[Icon],"")</f>
        <v/>
      </c>
      <c r="T354" s="5" t="str">
        <f t="array" ref="T354">XLOOKUP(S354,Skills[Action],Skills[Icon],"")</f>
        <v/>
      </c>
      <c r="V354" s="5" t="str">
        <f t="array" ref="V354">XLOOKUP(U354,Skills[Action],Skills[Icon],"")</f>
        <v/>
      </c>
    </row>
    <row r="355">
      <c r="C355" s="7">
        <v>0.004085648148148148</v>
      </c>
      <c r="L355" s="5" t="str">
        <f t="array" ref="L355">XLOOKUP(K355,Skills[Action],Skills[Icon],"")</f>
        <v/>
      </c>
      <c r="N355" s="5" t="str">
        <f t="array" ref="N355">XLOOKUP(M355,Skills[Action],Skills[Icon],"")</f>
        <v/>
      </c>
      <c r="P355" s="5" t="str">
        <f t="array" ref="P355">XLOOKUP(O355,Skills[Action],Skills[Icon],"")</f>
        <v/>
      </c>
      <c r="R355" s="5" t="str">
        <f t="array" ref="R355">XLOOKUP(Q355,Skills[Action],Skills[Icon],"")</f>
        <v/>
      </c>
      <c r="T355" s="5" t="str">
        <f t="array" ref="T355">XLOOKUP(S355,Skills[Action],Skills[Icon],"")</f>
        <v/>
      </c>
      <c r="V355" s="5" t="str">
        <f t="array" ref="V355">XLOOKUP(U355,Skills[Action],Skills[Icon],"")</f>
        <v/>
      </c>
    </row>
    <row r="356">
      <c r="C356" s="7">
        <v>0.004097222222222223</v>
      </c>
      <c r="L356" s="5" t="str">
        <f t="array" ref="L356">XLOOKUP(K356,Skills[Action],Skills[Icon],"")</f>
        <v/>
      </c>
      <c r="N356" s="5" t="str">
        <f t="array" ref="N356">XLOOKUP(M356,Skills[Action],Skills[Icon],"")</f>
        <v/>
      </c>
      <c r="P356" s="5" t="str">
        <f t="array" ref="P356">XLOOKUP(O356,Skills[Action],Skills[Icon],"")</f>
        <v/>
      </c>
      <c r="R356" s="5" t="str">
        <f t="array" ref="R356">XLOOKUP(Q356,Skills[Action],Skills[Icon],"")</f>
        <v/>
      </c>
      <c r="T356" s="5" t="str">
        <f t="array" ref="T356">XLOOKUP(S356,Skills[Action],Skills[Icon],"")</f>
        <v/>
      </c>
      <c r="V356" s="5" t="str">
        <f t="array" ref="V356">XLOOKUP(U356,Skills[Action],Skills[Icon],"")</f>
        <v/>
      </c>
    </row>
    <row r="357">
      <c r="C357" s="7">
        <v>0.004108796296296296</v>
      </c>
      <c r="L357" s="5" t="str">
        <f t="array" ref="L357">XLOOKUP(K357,Skills[Action],Skills[Icon],"")</f>
        <v/>
      </c>
      <c r="N357" s="5" t="str">
        <f t="array" ref="N357">XLOOKUP(M357,Skills[Action],Skills[Icon],"")</f>
        <v/>
      </c>
      <c r="P357" s="5" t="str">
        <f t="array" ref="P357">XLOOKUP(O357,Skills[Action],Skills[Icon],"")</f>
        <v/>
      </c>
      <c r="R357" s="5" t="str">
        <f t="array" ref="R357">XLOOKUP(Q357,Skills[Action],Skills[Icon],"")</f>
        <v/>
      </c>
      <c r="T357" s="5" t="str">
        <f t="array" ref="T357">XLOOKUP(S357,Skills[Action],Skills[Icon],"")</f>
        <v/>
      </c>
      <c r="V357" s="5" t="str">
        <f t="array" ref="V357">XLOOKUP(U357,Skills[Action],Skills[Icon],"")</f>
        <v/>
      </c>
    </row>
    <row r="358">
      <c r="C358" s="7">
        <v>0.004120370370370371</v>
      </c>
      <c r="L358" s="5" t="str">
        <f t="array" ref="L358">XLOOKUP(K358,Skills[Action],Skills[Icon],"")</f>
        <v/>
      </c>
      <c r="N358" s="5" t="str">
        <f t="array" ref="N358">XLOOKUP(M358,Skills[Action],Skills[Icon],"")</f>
        <v/>
      </c>
      <c r="P358" s="5" t="str">
        <f t="array" ref="P358">XLOOKUP(O358,Skills[Action],Skills[Icon],"")</f>
        <v/>
      </c>
      <c r="R358" s="5" t="str">
        <f t="array" ref="R358">XLOOKUP(Q358,Skills[Action],Skills[Icon],"")</f>
        <v/>
      </c>
      <c r="T358" s="5" t="str">
        <f t="array" ref="T358">XLOOKUP(S358,Skills[Action],Skills[Icon],"")</f>
        <v/>
      </c>
      <c r="V358" s="5" t="str">
        <f t="array" ref="V358">XLOOKUP(U358,Skills[Action],Skills[Icon],"")</f>
        <v/>
      </c>
    </row>
    <row r="359">
      <c r="C359" s="7">
        <v>0.004131944444444444</v>
      </c>
      <c r="L359" s="5" t="str">
        <f t="array" ref="L359">XLOOKUP(K359,Skills[Action],Skills[Icon],"")</f>
        <v/>
      </c>
      <c r="N359" s="5" t="str">
        <f t="array" ref="N359">XLOOKUP(M359,Skills[Action],Skills[Icon],"")</f>
        <v/>
      </c>
      <c r="P359" s="5" t="str">
        <f t="array" ref="P359">XLOOKUP(O359,Skills[Action],Skills[Icon],"")</f>
        <v/>
      </c>
      <c r="R359" s="5" t="str">
        <f t="array" ref="R359">XLOOKUP(Q359,Skills[Action],Skills[Icon],"")</f>
        <v/>
      </c>
      <c r="T359" s="5" t="str">
        <f t="array" ref="T359">XLOOKUP(S359,Skills[Action],Skills[Icon],"")</f>
        <v/>
      </c>
      <c r="V359" s="5" t="str">
        <f t="array" ref="V359">XLOOKUP(U359,Skills[Action],Skills[Icon],"")</f>
        <v/>
      </c>
    </row>
    <row r="360">
      <c r="C360" s="7">
        <v>0.004143518518518519</v>
      </c>
      <c r="L360" s="5" t="str">
        <f t="array" ref="L360">XLOOKUP(K360,Skills[Action],Skills[Icon],"")</f>
        <v/>
      </c>
      <c r="N360" s="5" t="str">
        <f t="array" ref="N360">XLOOKUP(M360,Skills[Action],Skills[Icon],"")</f>
        <v/>
      </c>
      <c r="P360" s="5" t="str">
        <f t="array" ref="P360">XLOOKUP(O360,Skills[Action],Skills[Icon],"")</f>
        <v/>
      </c>
      <c r="R360" s="5" t="str">
        <f t="array" ref="R360">XLOOKUP(Q360,Skills[Action],Skills[Icon],"")</f>
        <v/>
      </c>
      <c r="T360" s="5" t="str">
        <f t="array" ref="T360">XLOOKUP(S360,Skills[Action],Skills[Icon],"")</f>
        <v/>
      </c>
      <c r="V360" s="5" t="str">
        <f t="array" ref="V360">XLOOKUP(U360,Skills[Action],Skills[Icon],"")</f>
        <v/>
      </c>
    </row>
    <row r="361">
      <c r="C361" s="7">
        <v>0.004155092592592592</v>
      </c>
      <c r="L361" s="5" t="str">
        <f t="array" ref="L361">XLOOKUP(K361,Skills[Action],Skills[Icon],"")</f>
        <v/>
      </c>
      <c r="N361" s="5" t="str">
        <f t="array" ref="N361">XLOOKUP(M361,Skills[Action],Skills[Icon],"")</f>
        <v/>
      </c>
      <c r="P361" s="5" t="str">
        <f t="array" ref="P361">XLOOKUP(O361,Skills[Action],Skills[Icon],"")</f>
        <v/>
      </c>
      <c r="R361" s="5" t="str">
        <f t="array" ref="R361">XLOOKUP(Q361,Skills[Action],Skills[Icon],"")</f>
        <v/>
      </c>
      <c r="T361" s="5" t="str">
        <f t="array" ref="T361">XLOOKUP(S361,Skills[Action],Skills[Icon],"")</f>
        <v/>
      </c>
      <c r="V361" s="5" t="str">
        <f t="array" ref="V361">XLOOKUP(U361,Skills[Action],Skills[Icon],"")</f>
        <v/>
      </c>
    </row>
    <row r="362">
      <c r="C362" s="7">
        <v>0.004166666666666667</v>
      </c>
      <c r="L362" s="5" t="str">
        <f t="array" ref="L362">XLOOKUP(K362,Skills[Action],Skills[Icon],"")</f>
        <v/>
      </c>
      <c r="N362" s="5" t="str">
        <f t="array" ref="N362">XLOOKUP(M362,Skills[Action],Skills[Icon],"")</f>
        <v/>
      </c>
      <c r="P362" s="5" t="str">
        <f t="array" ref="P362">XLOOKUP(O362,Skills[Action],Skills[Icon],"")</f>
        <v/>
      </c>
      <c r="R362" s="5" t="str">
        <f t="array" ref="R362">XLOOKUP(Q362,Skills[Action],Skills[Icon],"")</f>
        <v/>
      </c>
      <c r="T362" s="5" t="str">
        <f t="array" ref="T362">XLOOKUP(S362,Skills[Action],Skills[Icon],"")</f>
        <v/>
      </c>
      <c r="V362" s="5" t="str">
        <f t="array" ref="V362">XLOOKUP(U362,Skills[Action],Skills[Icon],"")</f>
        <v/>
      </c>
    </row>
    <row r="363">
      <c r="C363" s="7">
        <v>0.004178240740740741</v>
      </c>
      <c r="L363" s="5" t="str">
        <f t="array" ref="L363">XLOOKUP(K363,Skills[Action],Skills[Icon],"")</f>
        <v/>
      </c>
      <c r="N363" s="5" t="str">
        <f t="array" ref="N363">XLOOKUP(M363,Skills[Action],Skills[Icon],"")</f>
        <v/>
      </c>
      <c r="P363" s="5" t="str">
        <f t="array" ref="P363">XLOOKUP(O363,Skills[Action],Skills[Icon],"")</f>
        <v/>
      </c>
      <c r="R363" s="5" t="str">
        <f t="array" ref="R363">XLOOKUP(Q363,Skills[Action],Skills[Icon],"")</f>
        <v/>
      </c>
      <c r="T363" s="5" t="str">
        <f t="array" ref="T363">XLOOKUP(S363,Skills[Action],Skills[Icon],"")</f>
        <v/>
      </c>
      <c r="V363" s="5" t="str">
        <f t="array" ref="V363">XLOOKUP(U363,Skills[Action],Skills[Icon],"")</f>
        <v/>
      </c>
    </row>
    <row r="364">
      <c r="C364" s="7">
        <v>0.004189814814814815</v>
      </c>
      <c r="L364" s="5" t="str">
        <f t="array" ref="L364">XLOOKUP(K364,Skills[Action],Skills[Icon],"")</f>
        <v/>
      </c>
      <c r="N364" s="5" t="str">
        <f t="array" ref="N364">XLOOKUP(M364,Skills[Action],Skills[Icon],"")</f>
        <v/>
      </c>
      <c r="P364" s="5" t="str">
        <f t="array" ref="P364">XLOOKUP(O364,Skills[Action],Skills[Icon],"")</f>
        <v/>
      </c>
      <c r="R364" s="5" t="str">
        <f t="array" ref="R364">XLOOKUP(Q364,Skills[Action],Skills[Icon],"")</f>
        <v/>
      </c>
      <c r="T364" s="5" t="str">
        <f t="array" ref="T364">XLOOKUP(S364,Skills[Action],Skills[Icon],"")</f>
        <v/>
      </c>
      <c r="V364" s="5" t="str">
        <f t="array" ref="V364">XLOOKUP(U364,Skills[Action],Skills[Icon],"")</f>
        <v/>
      </c>
    </row>
    <row r="365">
      <c r="C365" s="7">
        <v>0.004201388888888889</v>
      </c>
      <c r="L365" s="5" t="str">
        <f t="array" ref="L365">XLOOKUP(K365,Skills[Action],Skills[Icon],"")</f>
        <v/>
      </c>
      <c r="N365" s="5" t="str">
        <f t="array" ref="N365">XLOOKUP(M365,Skills[Action],Skills[Icon],"")</f>
        <v/>
      </c>
      <c r="P365" s="5" t="str">
        <f t="array" ref="P365">XLOOKUP(O365,Skills[Action],Skills[Icon],"")</f>
        <v/>
      </c>
      <c r="R365" s="5" t="str">
        <f t="array" ref="R365">XLOOKUP(Q365,Skills[Action],Skills[Icon],"")</f>
        <v/>
      </c>
      <c r="T365" s="5" t="str">
        <f t="array" ref="T365">XLOOKUP(S365,Skills[Action],Skills[Icon],"")</f>
        <v/>
      </c>
      <c r="V365" s="5" t="str">
        <f t="array" ref="V365">XLOOKUP(U365,Skills[Action],Skills[Icon],"")</f>
        <v/>
      </c>
    </row>
    <row r="366">
      <c r="C366" s="7">
        <v>0.004212962962962963</v>
      </c>
      <c r="L366" s="5" t="str">
        <f t="array" ref="L366">XLOOKUP(K366,Skills[Action],Skills[Icon],"")</f>
        <v/>
      </c>
      <c r="N366" s="5" t="str">
        <f t="array" ref="N366">XLOOKUP(M366,Skills[Action],Skills[Icon],"")</f>
        <v/>
      </c>
      <c r="P366" s="5" t="str">
        <f t="array" ref="P366">XLOOKUP(O366,Skills[Action],Skills[Icon],"")</f>
        <v/>
      </c>
      <c r="R366" s="5" t="str">
        <f t="array" ref="R366">XLOOKUP(Q366,Skills[Action],Skills[Icon],"")</f>
        <v/>
      </c>
      <c r="T366" s="5" t="str">
        <f t="array" ref="T366">XLOOKUP(S366,Skills[Action],Skills[Icon],"")</f>
        <v/>
      </c>
      <c r="V366" s="5" t="str">
        <f t="array" ref="V366">XLOOKUP(U366,Skills[Action],Skills[Icon],"")</f>
        <v/>
      </c>
    </row>
    <row r="367">
      <c r="C367" s="7">
        <v>0.004224537037037037</v>
      </c>
      <c r="L367" s="5" t="str">
        <f t="array" ref="L367">XLOOKUP(K367,Skills[Action],Skills[Icon],"")</f>
        <v/>
      </c>
      <c r="N367" s="5" t="str">
        <f t="array" ref="N367">XLOOKUP(M367,Skills[Action],Skills[Icon],"")</f>
        <v/>
      </c>
      <c r="P367" s="5" t="str">
        <f t="array" ref="P367">XLOOKUP(O367,Skills[Action],Skills[Icon],"")</f>
        <v/>
      </c>
      <c r="R367" s="5" t="str">
        <f t="array" ref="R367">XLOOKUP(Q367,Skills[Action],Skills[Icon],"")</f>
        <v/>
      </c>
      <c r="T367" s="5" t="str">
        <f t="array" ref="T367">XLOOKUP(S367,Skills[Action],Skills[Icon],"")</f>
        <v/>
      </c>
      <c r="V367" s="5" t="str">
        <f t="array" ref="V367">XLOOKUP(U367,Skills[Action],Skills[Icon],"")</f>
        <v/>
      </c>
    </row>
    <row r="368">
      <c r="C368" s="7">
        <v>0.0042361111111111115</v>
      </c>
      <c r="L368" s="5" t="str">
        <f t="array" ref="L368">XLOOKUP(K368,Skills[Action],Skills[Icon],"")</f>
        <v/>
      </c>
      <c r="N368" s="5" t="str">
        <f t="array" ref="N368">XLOOKUP(M368,Skills[Action],Skills[Icon],"")</f>
        <v/>
      </c>
      <c r="P368" s="5" t="str">
        <f t="array" ref="P368">XLOOKUP(O368,Skills[Action],Skills[Icon],"")</f>
        <v/>
      </c>
      <c r="R368" s="5" t="str">
        <f t="array" ref="R368">XLOOKUP(Q368,Skills[Action],Skills[Icon],"")</f>
        <v/>
      </c>
      <c r="T368" s="5" t="str">
        <f t="array" ref="T368">XLOOKUP(S368,Skills[Action],Skills[Icon],"")</f>
        <v/>
      </c>
      <c r="V368" s="5" t="str">
        <f t="array" ref="V368">XLOOKUP(U368,Skills[Action],Skills[Icon],"")</f>
        <v/>
      </c>
    </row>
    <row r="369">
      <c r="C369" s="7">
        <v>0.004247685185185185</v>
      </c>
      <c r="L369" s="5" t="str">
        <f t="array" ref="L369">XLOOKUP(K369,Skills[Action],Skills[Icon],"")</f>
        <v/>
      </c>
      <c r="N369" s="5" t="str">
        <f t="array" ref="N369">XLOOKUP(M369,Skills[Action],Skills[Icon],"")</f>
        <v/>
      </c>
      <c r="P369" s="5" t="str">
        <f t="array" ref="P369">XLOOKUP(O369,Skills[Action],Skills[Icon],"")</f>
        <v/>
      </c>
      <c r="R369" s="5" t="str">
        <f t="array" ref="R369">XLOOKUP(Q369,Skills[Action],Skills[Icon],"")</f>
        <v/>
      </c>
      <c r="T369" s="5" t="str">
        <f t="array" ref="T369">XLOOKUP(S369,Skills[Action],Skills[Icon],"")</f>
        <v/>
      </c>
      <c r="V369" s="5" t="str">
        <f t="array" ref="V369">XLOOKUP(U369,Skills[Action],Skills[Icon],"")</f>
        <v/>
      </c>
    </row>
    <row r="370">
      <c r="C370" s="7">
        <v>0.0042592592592592595</v>
      </c>
      <c r="L370" s="5" t="str">
        <f t="array" ref="L370">XLOOKUP(K370,Skills[Action],Skills[Icon],"")</f>
        <v/>
      </c>
      <c r="N370" s="5" t="str">
        <f t="array" ref="N370">XLOOKUP(M370,Skills[Action],Skills[Icon],"")</f>
        <v/>
      </c>
      <c r="P370" s="5" t="str">
        <f t="array" ref="P370">XLOOKUP(O370,Skills[Action],Skills[Icon],"")</f>
        <v/>
      </c>
      <c r="R370" s="5" t="str">
        <f t="array" ref="R370">XLOOKUP(Q370,Skills[Action],Skills[Icon],"")</f>
        <v/>
      </c>
      <c r="T370" s="5" t="str">
        <f t="array" ref="T370">XLOOKUP(S370,Skills[Action],Skills[Icon],"")</f>
        <v/>
      </c>
      <c r="V370" s="5" t="str">
        <f t="array" ref="V370">XLOOKUP(U370,Skills[Action],Skills[Icon],"")</f>
        <v/>
      </c>
    </row>
    <row r="371">
      <c r="C371" s="7">
        <v>0.004270833333333333</v>
      </c>
      <c r="L371" s="5" t="str">
        <f t="array" ref="L371">XLOOKUP(K371,Skills[Action],Skills[Icon],"")</f>
        <v/>
      </c>
      <c r="N371" s="5" t="str">
        <f t="array" ref="N371">XLOOKUP(M371,Skills[Action],Skills[Icon],"")</f>
        <v/>
      </c>
      <c r="P371" s="5" t="str">
        <f t="array" ref="P371">XLOOKUP(O371,Skills[Action],Skills[Icon],"")</f>
        <v/>
      </c>
      <c r="R371" s="5" t="str">
        <f t="array" ref="R371">XLOOKUP(Q371,Skills[Action],Skills[Icon],"")</f>
        <v/>
      </c>
      <c r="T371" s="5" t="str">
        <f t="array" ref="T371">XLOOKUP(S371,Skills[Action],Skills[Icon],"")</f>
        <v/>
      </c>
      <c r="V371" s="5" t="str">
        <f t="array" ref="V371">XLOOKUP(U371,Skills[Action],Skills[Icon],"")</f>
        <v/>
      </c>
    </row>
    <row r="372">
      <c r="C372" s="7">
        <v>0.0042824074074074075</v>
      </c>
      <c r="L372" s="5" t="str">
        <f t="array" ref="L372">XLOOKUP(K372,Skills[Action],Skills[Icon],"")</f>
        <v/>
      </c>
      <c r="N372" s="5" t="str">
        <f t="array" ref="N372">XLOOKUP(M372,Skills[Action],Skills[Icon],"")</f>
        <v/>
      </c>
      <c r="P372" s="5" t="str">
        <f t="array" ref="P372">XLOOKUP(O372,Skills[Action],Skills[Icon],"")</f>
        <v/>
      </c>
      <c r="R372" s="5" t="str">
        <f t="array" ref="R372">XLOOKUP(Q372,Skills[Action],Skills[Icon],"")</f>
        <v/>
      </c>
      <c r="T372" s="5" t="str">
        <f t="array" ref="T372">XLOOKUP(S372,Skills[Action],Skills[Icon],"")</f>
        <v/>
      </c>
      <c r="V372" s="5" t="str">
        <f t="array" ref="V372">XLOOKUP(U372,Skills[Action],Skills[Icon],"")</f>
        <v/>
      </c>
    </row>
    <row r="373">
      <c r="C373" s="7">
        <v>0.004293981481481481</v>
      </c>
      <c r="L373" s="5" t="str">
        <f t="array" ref="L373">XLOOKUP(K373,Skills[Action],Skills[Icon],"")</f>
        <v/>
      </c>
      <c r="N373" s="5" t="str">
        <f t="array" ref="N373">XLOOKUP(M373,Skills[Action],Skills[Icon],"")</f>
        <v/>
      </c>
      <c r="P373" s="5" t="str">
        <f t="array" ref="P373">XLOOKUP(O373,Skills[Action],Skills[Icon],"")</f>
        <v/>
      </c>
      <c r="R373" s="5" t="str">
        <f t="array" ref="R373">XLOOKUP(Q373,Skills[Action],Skills[Icon],"")</f>
        <v/>
      </c>
      <c r="T373" s="5" t="str">
        <f t="array" ref="T373">XLOOKUP(S373,Skills[Action],Skills[Icon],"")</f>
        <v/>
      </c>
      <c r="V373" s="5" t="str">
        <f t="array" ref="V373">XLOOKUP(U373,Skills[Action],Skills[Icon],"")</f>
        <v/>
      </c>
    </row>
    <row r="374">
      <c r="C374" s="7">
        <v>0.0043055555555555555</v>
      </c>
      <c r="L374" s="5" t="str">
        <f t="array" ref="L374">XLOOKUP(K374,Skills[Action],Skills[Icon],"")</f>
        <v/>
      </c>
      <c r="N374" s="5" t="str">
        <f t="array" ref="N374">XLOOKUP(M374,Skills[Action],Skills[Icon],"")</f>
        <v/>
      </c>
      <c r="P374" s="5" t="str">
        <f t="array" ref="P374">XLOOKUP(O374,Skills[Action],Skills[Icon],"")</f>
        <v/>
      </c>
      <c r="R374" s="5" t="str">
        <f t="array" ref="R374">XLOOKUP(Q374,Skills[Action],Skills[Icon],"")</f>
        <v/>
      </c>
      <c r="T374" s="5" t="str">
        <f t="array" ref="T374">XLOOKUP(S374,Skills[Action],Skills[Icon],"")</f>
        <v/>
      </c>
      <c r="V374" s="5" t="str">
        <f t="array" ref="V374">XLOOKUP(U374,Skills[Action],Skills[Icon],"")</f>
        <v/>
      </c>
    </row>
    <row r="375">
      <c r="C375" s="7">
        <v>0.00431712962962963</v>
      </c>
      <c r="L375" s="5" t="str">
        <f t="array" ref="L375">XLOOKUP(K375,Skills[Action],Skills[Icon],"")</f>
        <v/>
      </c>
      <c r="N375" s="5" t="str">
        <f t="array" ref="N375">XLOOKUP(M375,Skills[Action],Skills[Icon],"")</f>
        <v/>
      </c>
      <c r="P375" s="5" t="str">
        <f t="array" ref="P375">XLOOKUP(O375,Skills[Action],Skills[Icon],"")</f>
        <v/>
      </c>
      <c r="R375" s="5" t="str">
        <f t="array" ref="R375">XLOOKUP(Q375,Skills[Action],Skills[Icon],"")</f>
        <v/>
      </c>
      <c r="T375" s="5" t="str">
        <f t="array" ref="T375">XLOOKUP(S375,Skills[Action],Skills[Icon],"")</f>
        <v/>
      </c>
      <c r="V375" s="5" t="str">
        <f t="array" ref="V375">XLOOKUP(U375,Skills[Action],Skills[Icon],"")</f>
        <v/>
      </c>
    </row>
    <row r="376">
      <c r="C376" s="7">
        <v>0.0043287037037037035</v>
      </c>
      <c r="L376" s="5" t="str">
        <f t="array" ref="L376">XLOOKUP(K376,Skills[Action],Skills[Icon],"")</f>
        <v/>
      </c>
      <c r="N376" s="5" t="str">
        <f t="array" ref="N376">XLOOKUP(M376,Skills[Action],Skills[Icon],"")</f>
        <v/>
      </c>
      <c r="P376" s="5" t="str">
        <f t="array" ref="P376">XLOOKUP(O376,Skills[Action],Skills[Icon],"")</f>
        <v/>
      </c>
      <c r="R376" s="5" t="str">
        <f t="array" ref="R376">XLOOKUP(Q376,Skills[Action],Skills[Icon],"")</f>
        <v/>
      </c>
      <c r="T376" s="5" t="str">
        <f t="array" ref="T376">XLOOKUP(S376,Skills[Action],Skills[Icon],"")</f>
        <v/>
      </c>
      <c r="V376" s="5" t="str">
        <f t="array" ref="V376">XLOOKUP(U376,Skills[Action],Skills[Icon],"")</f>
        <v/>
      </c>
    </row>
    <row r="377">
      <c r="C377" s="7">
        <v>0.004340277777777778</v>
      </c>
      <c r="L377" s="5" t="str">
        <f t="array" ref="L377">XLOOKUP(K377,Skills[Action],Skills[Icon],"")</f>
        <v/>
      </c>
      <c r="N377" s="5" t="str">
        <f t="array" ref="N377">XLOOKUP(M377,Skills[Action],Skills[Icon],"")</f>
        <v/>
      </c>
      <c r="P377" s="5" t="str">
        <f t="array" ref="P377">XLOOKUP(O377,Skills[Action],Skills[Icon],"")</f>
        <v/>
      </c>
      <c r="R377" s="5" t="str">
        <f t="array" ref="R377">XLOOKUP(Q377,Skills[Action],Skills[Icon],"")</f>
        <v/>
      </c>
      <c r="T377" s="5" t="str">
        <f t="array" ref="T377">XLOOKUP(S377,Skills[Action],Skills[Icon],"")</f>
        <v/>
      </c>
      <c r="V377" s="5" t="str">
        <f t="array" ref="V377">XLOOKUP(U377,Skills[Action],Skills[Icon],"")</f>
        <v/>
      </c>
    </row>
    <row r="378">
      <c r="C378" s="7">
        <v>0.0043518518518518515</v>
      </c>
      <c r="L378" s="5" t="str">
        <f t="array" ref="L378">XLOOKUP(K378,Skills[Action],Skills[Icon],"")</f>
        <v/>
      </c>
      <c r="N378" s="5" t="str">
        <f t="array" ref="N378">XLOOKUP(M378,Skills[Action],Skills[Icon],"")</f>
        <v/>
      </c>
      <c r="P378" s="5" t="str">
        <f t="array" ref="P378">XLOOKUP(O378,Skills[Action],Skills[Icon],"")</f>
        <v/>
      </c>
      <c r="R378" s="5" t="str">
        <f t="array" ref="R378">XLOOKUP(Q378,Skills[Action],Skills[Icon],"")</f>
        <v/>
      </c>
      <c r="T378" s="5" t="str">
        <f t="array" ref="T378">XLOOKUP(S378,Skills[Action],Skills[Icon],"")</f>
        <v/>
      </c>
      <c r="V378" s="5" t="str">
        <f t="array" ref="V378">XLOOKUP(U378,Skills[Action],Skills[Icon],"")</f>
        <v/>
      </c>
    </row>
    <row r="379">
      <c r="C379" s="7">
        <v>0.004363425925925926</v>
      </c>
      <c r="L379" s="5" t="str">
        <f t="array" ref="L379">XLOOKUP(K379,Skills[Action],Skills[Icon],"")</f>
        <v/>
      </c>
      <c r="N379" s="5" t="str">
        <f t="array" ref="N379">XLOOKUP(M379,Skills[Action],Skills[Icon],"")</f>
        <v/>
      </c>
      <c r="P379" s="5" t="str">
        <f t="array" ref="P379">XLOOKUP(O379,Skills[Action],Skills[Icon],"")</f>
        <v/>
      </c>
      <c r="R379" s="5" t="str">
        <f t="array" ref="R379">XLOOKUP(Q379,Skills[Action],Skills[Icon],"")</f>
        <v/>
      </c>
      <c r="T379" s="5" t="str">
        <f t="array" ref="T379">XLOOKUP(S379,Skills[Action],Skills[Icon],"")</f>
        <v/>
      </c>
      <c r="V379" s="5" t="str">
        <f t="array" ref="V379">XLOOKUP(U379,Skills[Action],Skills[Icon],"")</f>
        <v/>
      </c>
    </row>
    <row r="380">
      <c r="C380" s="7">
        <v>0.004375</v>
      </c>
      <c r="L380" s="5" t="str">
        <f t="array" ref="L380">XLOOKUP(K380,Skills[Action],Skills[Icon],"")</f>
        <v/>
      </c>
      <c r="N380" s="5" t="str">
        <f t="array" ref="N380">XLOOKUP(M380,Skills[Action],Skills[Icon],"")</f>
        <v/>
      </c>
      <c r="P380" s="5" t="str">
        <f t="array" ref="P380">XLOOKUP(O380,Skills[Action],Skills[Icon],"")</f>
        <v/>
      </c>
      <c r="R380" s="5" t="str">
        <f t="array" ref="R380">XLOOKUP(Q380,Skills[Action],Skills[Icon],"")</f>
        <v/>
      </c>
      <c r="T380" s="5" t="str">
        <f t="array" ref="T380">XLOOKUP(S380,Skills[Action],Skills[Icon],"")</f>
        <v/>
      </c>
      <c r="V380" s="5" t="str">
        <f t="array" ref="V380">XLOOKUP(U380,Skills[Action],Skills[Icon],"")</f>
        <v/>
      </c>
    </row>
    <row r="381">
      <c r="C381" s="7">
        <v>0.004386574074074074</v>
      </c>
      <c r="L381" s="5" t="str">
        <f t="array" ref="L381">XLOOKUP(K381,Skills[Action],Skills[Icon],"")</f>
        <v/>
      </c>
      <c r="N381" s="5" t="str">
        <f t="array" ref="N381">XLOOKUP(M381,Skills[Action],Skills[Icon],"")</f>
        <v/>
      </c>
      <c r="P381" s="5" t="str">
        <f t="array" ref="P381">XLOOKUP(O381,Skills[Action],Skills[Icon],"")</f>
        <v/>
      </c>
      <c r="R381" s="5" t="str">
        <f t="array" ref="R381">XLOOKUP(Q381,Skills[Action],Skills[Icon],"")</f>
        <v/>
      </c>
      <c r="T381" s="5" t="str">
        <f t="array" ref="T381">XLOOKUP(S381,Skills[Action],Skills[Icon],"")</f>
        <v/>
      </c>
      <c r="V381" s="5" t="str">
        <f t="array" ref="V381">XLOOKUP(U381,Skills[Action],Skills[Icon],"")</f>
        <v/>
      </c>
    </row>
    <row r="382">
      <c r="C382" s="7">
        <v>0.004398148148148148</v>
      </c>
      <c r="L382" s="5" t="str">
        <f t="array" ref="L382">XLOOKUP(K382,Skills[Action],Skills[Icon],"")</f>
        <v/>
      </c>
      <c r="N382" s="5" t="str">
        <f t="array" ref="N382">XLOOKUP(M382,Skills[Action],Skills[Icon],"")</f>
        <v/>
      </c>
      <c r="P382" s="5" t="str">
        <f t="array" ref="P382">XLOOKUP(O382,Skills[Action],Skills[Icon],"")</f>
        <v/>
      </c>
      <c r="R382" s="5" t="str">
        <f t="array" ref="R382">XLOOKUP(Q382,Skills[Action],Skills[Icon],"")</f>
        <v/>
      </c>
      <c r="T382" s="5" t="str">
        <f t="array" ref="T382">XLOOKUP(S382,Skills[Action],Skills[Icon],"")</f>
        <v/>
      </c>
      <c r="V382" s="5" t="str">
        <f t="array" ref="V382">XLOOKUP(U382,Skills[Action],Skills[Icon],"")</f>
        <v/>
      </c>
    </row>
    <row r="383">
      <c r="C383" s="7">
        <v>0.004409722222222222</v>
      </c>
      <c r="L383" s="5" t="str">
        <f t="array" ref="L383">XLOOKUP(K383,Skills[Action],Skills[Icon],"")</f>
        <v/>
      </c>
      <c r="N383" s="5" t="str">
        <f t="array" ref="N383">XLOOKUP(M383,Skills[Action],Skills[Icon],"")</f>
        <v/>
      </c>
      <c r="P383" s="5" t="str">
        <f t="array" ref="P383">XLOOKUP(O383,Skills[Action],Skills[Icon],"")</f>
        <v/>
      </c>
      <c r="R383" s="5" t="str">
        <f t="array" ref="R383">XLOOKUP(Q383,Skills[Action],Skills[Icon],"")</f>
        <v/>
      </c>
      <c r="T383" s="5" t="str">
        <f t="array" ref="T383">XLOOKUP(S383,Skills[Action],Skills[Icon],"")</f>
        <v/>
      </c>
      <c r="V383" s="5" t="str">
        <f t="array" ref="V383">XLOOKUP(U383,Skills[Action],Skills[Icon],"")</f>
        <v/>
      </c>
    </row>
    <row r="384">
      <c r="C384" s="7">
        <v>0.004421296296296296</v>
      </c>
      <c r="L384" s="5" t="str">
        <f t="array" ref="L384">XLOOKUP(K384,Skills[Action],Skills[Icon],"")</f>
        <v/>
      </c>
      <c r="N384" s="5" t="str">
        <f t="array" ref="N384">XLOOKUP(M384,Skills[Action],Skills[Icon],"")</f>
        <v/>
      </c>
      <c r="P384" s="5" t="str">
        <f t="array" ref="P384">XLOOKUP(O384,Skills[Action],Skills[Icon],"")</f>
        <v/>
      </c>
      <c r="R384" s="5" t="str">
        <f t="array" ref="R384">XLOOKUP(Q384,Skills[Action],Skills[Icon],"")</f>
        <v/>
      </c>
      <c r="T384" s="5" t="str">
        <f t="array" ref="T384">XLOOKUP(S384,Skills[Action],Skills[Icon],"")</f>
        <v/>
      </c>
      <c r="V384" s="5" t="str">
        <f t="array" ref="V384">XLOOKUP(U384,Skills[Action],Skills[Icon],"")</f>
        <v/>
      </c>
    </row>
    <row r="385">
      <c r="C385" s="7">
        <v>0.00443287037037037</v>
      </c>
      <c r="L385" s="5" t="str">
        <f t="array" ref="L385">XLOOKUP(K385,Skills[Action],Skills[Icon],"")</f>
        <v/>
      </c>
      <c r="N385" s="5" t="str">
        <f t="array" ref="N385">XLOOKUP(M385,Skills[Action],Skills[Icon],"")</f>
        <v/>
      </c>
      <c r="P385" s="5" t="str">
        <f t="array" ref="P385">XLOOKUP(O385,Skills[Action],Skills[Icon],"")</f>
        <v/>
      </c>
      <c r="R385" s="5" t="str">
        <f t="array" ref="R385">XLOOKUP(Q385,Skills[Action],Skills[Icon],"")</f>
        <v/>
      </c>
      <c r="T385" s="5" t="str">
        <f t="array" ref="T385">XLOOKUP(S385,Skills[Action],Skills[Icon],"")</f>
        <v/>
      </c>
      <c r="V385" s="5" t="str">
        <f t="array" ref="V385">XLOOKUP(U385,Skills[Action],Skills[Icon],"")</f>
        <v/>
      </c>
    </row>
    <row r="386">
      <c r="C386" s="7">
        <v>0.0044444444444444444</v>
      </c>
      <c r="L386" s="5" t="str">
        <f t="array" ref="L386">XLOOKUP(K386,Skills[Action],Skills[Icon],"")</f>
        <v/>
      </c>
      <c r="N386" s="5" t="str">
        <f t="array" ref="N386">XLOOKUP(M386,Skills[Action],Skills[Icon],"")</f>
        <v/>
      </c>
      <c r="P386" s="5" t="str">
        <f t="array" ref="P386">XLOOKUP(O386,Skills[Action],Skills[Icon],"")</f>
        <v/>
      </c>
      <c r="R386" s="5" t="str">
        <f t="array" ref="R386">XLOOKUP(Q386,Skills[Action],Skills[Icon],"")</f>
        <v/>
      </c>
      <c r="T386" s="5" t="str">
        <f t="array" ref="T386">XLOOKUP(S386,Skills[Action],Skills[Icon],"")</f>
        <v/>
      </c>
      <c r="V386" s="5" t="str">
        <f t="array" ref="V386">XLOOKUP(U386,Skills[Action],Skills[Icon],"")</f>
        <v/>
      </c>
    </row>
    <row r="387">
      <c r="C387" s="7">
        <v>0.004456018518518519</v>
      </c>
      <c r="L387" s="5" t="str">
        <f t="array" ref="L387">XLOOKUP(K387,Skills[Action],Skills[Icon],"")</f>
        <v/>
      </c>
      <c r="N387" s="5" t="str">
        <f t="array" ref="N387">XLOOKUP(M387,Skills[Action],Skills[Icon],"")</f>
        <v/>
      </c>
      <c r="P387" s="5" t="str">
        <f t="array" ref="P387">XLOOKUP(O387,Skills[Action],Skills[Icon],"")</f>
        <v/>
      </c>
      <c r="R387" s="5" t="str">
        <f t="array" ref="R387">XLOOKUP(Q387,Skills[Action],Skills[Icon],"")</f>
        <v/>
      </c>
      <c r="T387" s="5" t="str">
        <f t="array" ref="T387">XLOOKUP(S387,Skills[Action],Skills[Icon],"")</f>
        <v/>
      </c>
      <c r="V387" s="5" t="str">
        <f t="array" ref="V387">XLOOKUP(U387,Skills[Action],Skills[Icon],"")</f>
        <v/>
      </c>
    </row>
    <row r="388">
      <c r="C388" s="7">
        <v>0.0044675925925925924</v>
      </c>
      <c r="L388" s="5" t="str">
        <f t="array" ref="L388">XLOOKUP(K388,Skills[Action],Skills[Icon],"")</f>
        <v/>
      </c>
      <c r="N388" s="5" t="str">
        <f t="array" ref="N388">XLOOKUP(M388,Skills[Action],Skills[Icon],"")</f>
        <v/>
      </c>
      <c r="P388" s="5" t="str">
        <f t="array" ref="P388">XLOOKUP(O388,Skills[Action],Skills[Icon],"")</f>
        <v/>
      </c>
      <c r="R388" s="5" t="str">
        <f t="array" ref="R388">XLOOKUP(Q388,Skills[Action],Skills[Icon],"")</f>
        <v/>
      </c>
      <c r="T388" s="5" t="str">
        <f t="array" ref="T388">XLOOKUP(S388,Skills[Action],Skills[Icon],"")</f>
        <v/>
      </c>
      <c r="V388" s="5" t="str">
        <f t="array" ref="V388">XLOOKUP(U388,Skills[Action],Skills[Icon],"")</f>
        <v/>
      </c>
    </row>
    <row r="389">
      <c r="C389" s="7">
        <v>0.004479166666666667</v>
      </c>
      <c r="L389" s="5" t="str">
        <f t="array" ref="L389">XLOOKUP(K389,Skills[Action],Skills[Icon],"")</f>
        <v/>
      </c>
      <c r="N389" s="5" t="str">
        <f t="array" ref="N389">XLOOKUP(M389,Skills[Action],Skills[Icon],"")</f>
        <v/>
      </c>
      <c r="P389" s="5" t="str">
        <f t="array" ref="P389">XLOOKUP(O389,Skills[Action],Skills[Icon],"")</f>
        <v/>
      </c>
      <c r="R389" s="5" t="str">
        <f t="array" ref="R389">XLOOKUP(Q389,Skills[Action],Skills[Icon],"")</f>
        <v/>
      </c>
      <c r="T389" s="5" t="str">
        <f t="array" ref="T389">XLOOKUP(S389,Skills[Action],Skills[Icon],"")</f>
        <v/>
      </c>
      <c r="V389" s="5" t="str">
        <f t="array" ref="V389">XLOOKUP(U389,Skills[Action],Skills[Icon],"")</f>
        <v/>
      </c>
    </row>
    <row r="390">
      <c r="C390" s="7">
        <v>0.0044907407407407405</v>
      </c>
      <c r="L390" s="5" t="str">
        <f t="array" ref="L390">XLOOKUP(K390,Skills[Action],Skills[Icon],"")</f>
        <v/>
      </c>
      <c r="N390" s="5" t="str">
        <f t="array" ref="N390">XLOOKUP(M390,Skills[Action],Skills[Icon],"")</f>
        <v/>
      </c>
      <c r="P390" s="5" t="str">
        <f t="array" ref="P390">XLOOKUP(O390,Skills[Action],Skills[Icon],"")</f>
        <v/>
      </c>
      <c r="R390" s="5" t="str">
        <f t="array" ref="R390">XLOOKUP(Q390,Skills[Action],Skills[Icon],"")</f>
        <v/>
      </c>
      <c r="T390" s="5" t="str">
        <f t="array" ref="T390">XLOOKUP(S390,Skills[Action],Skills[Icon],"")</f>
        <v/>
      </c>
      <c r="V390" s="5" t="str">
        <f t="array" ref="V390">XLOOKUP(U390,Skills[Action],Skills[Icon],"")</f>
        <v/>
      </c>
    </row>
    <row r="391">
      <c r="C391" s="7">
        <v>0.004502314814814815</v>
      </c>
      <c r="L391" s="5" t="str">
        <f t="array" ref="L391">XLOOKUP(K391,Skills[Action],Skills[Icon],"")</f>
        <v/>
      </c>
      <c r="N391" s="5" t="str">
        <f t="array" ref="N391">XLOOKUP(M391,Skills[Action],Skills[Icon],"")</f>
        <v/>
      </c>
      <c r="P391" s="5" t="str">
        <f t="array" ref="P391">XLOOKUP(O391,Skills[Action],Skills[Icon],"")</f>
        <v/>
      </c>
      <c r="R391" s="5" t="str">
        <f t="array" ref="R391">XLOOKUP(Q391,Skills[Action],Skills[Icon],"")</f>
        <v/>
      </c>
      <c r="T391" s="5" t="str">
        <f t="array" ref="T391">XLOOKUP(S391,Skills[Action],Skills[Icon],"")</f>
        <v/>
      </c>
      <c r="V391" s="5" t="str">
        <f t="array" ref="V391">XLOOKUP(U391,Skills[Action],Skills[Icon],"")</f>
        <v/>
      </c>
    </row>
    <row r="392">
      <c r="C392" s="7">
        <v>0.0045138888888888885</v>
      </c>
      <c r="L392" s="5" t="str">
        <f t="array" ref="L392">XLOOKUP(K392,Skills[Action],Skills[Icon],"")</f>
        <v/>
      </c>
      <c r="N392" s="5" t="str">
        <f t="array" ref="N392">XLOOKUP(M392,Skills[Action],Skills[Icon],"")</f>
        <v/>
      </c>
      <c r="P392" s="5" t="str">
        <f t="array" ref="P392">XLOOKUP(O392,Skills[Action],Skills[Icon],"")</f>
        <v/>
      </c>
      <c r="R392" s="5" t="str">
        <f t="array" ref="R392">XLOOKUP(Q392,Skills[Action],Skills[Icon],"")</f>
        <v/>
      </c>
      <c r="T392" s="5" t="str">
        <f t="array" ref="T392">XLOOKUP(S392,Skills[Action],Skills[Icon],"")</f>
        <v/>
      </c>
      <c r="V392" s="5" t="str">
        <f t="array" ref="V392">XLOOKUP(U392,Skills[Action],Skills[Icon],"")</f>
        <v/>
      </c>
    </row>
    <row r="393">
      <c r="C393" s="7">
        <v>0.004525462962962963</v>
      </c>
      <c r="L393" s="5" t="str">
        <f t="array" ref="L393">XLOOKUP(K393,Skills[Action],Skills[Icon],"")</f>
        <v/>
      </c>
      <c r="N393" s="5" t="str">
        <f t="array" ref="N393">XLOOKUP(M393,Skills[Action],Skills[Icon],"")</f>
        <v/>
      </c>
      <c r="P393" s="5" t="str">
        <f t="array" ref="P393">XLOOKUP(O393,Skills[Action],Skills[Icon],"")</f>
        <v/>
      </c>
      <c r="R393" s="5" t="str">
        <f t="array" ref="R393">XLOOKUP(Q393,Skills[Action],Skills[Icon],"")</f>
        <v/>
      </c>
      <c r="T393" s="5" t="str">
        <f t="array" ref="T393">XLOOKUP(S393,Skills[Action],Skills[Icon],"")</f>
        <v/>
      </c>
      <c r="V393" s="5" t="str">
        <f t="array" ref="V393">XLOOKUP(U393,Skills[Action],Skills[Icon],"")</f>
        <v/>
      </c>
    </row>
    <row r="394">
      <c r="C394" s="7">
        <v>0.004537037037037037</v>
      </c>
      <c r="L394" s="5" t="str">
        <f t="array" ref="L394">XLOOKUP(K394,Skills[Action],Skills[Icon],"")</f>
        <v/>
      </c>
      <c r="N394" s="5" t="str">
        <f t="array" ref="N394">XLOOKUP(M394,Skills[Action],Skills[Icon],"")</f>
        <v/>
      </c>
      <c r="P394" s="5" t="str">
        <f t="array" ref="P394">XLOOKUP(O394,Skills[Action],Skills[Icon],"")</f>
        <v/>
      </c>
      <c r="R394" s="5" t="str">
        <f t="array" ref="R394">XLOOKUP(Q394,Skills[Action],Skills[Icon],"")</f>
        <v/>
      </c>
      <c r="T394" s="5" t="str">
        <f t="array" ref="T394">XLOOKUP(S394,Skills[Action],Skills[Icon],"")</f>
        <v/>
      </c>
      <c r="V394" s="5" t="str">
        <f t="array" ref="V394">XLOOKUP(U394,Skills[Action],Skills[Icon],"")</f>
        <v/>
      </c>
    </row>
    <row r="395">
      <c r="C395" s="7">
        <v>0.004548611111111111</v>
      </c>
      <c r="L395" s="5" t="str">
        <f t="array" ref="L395">XLOOKUP(K395,Skills[Action],Skills[Icon],"")</f>
        <v/>
      </c>
      <c r="N395" s="5" t="str">
        <f t="array" ref="N395">XLOOKUP(M395,Skills[Action],Skills[Icon],"")</f>
        <v/>
      </c>
      <c r="P395" s="5" t="str">
        <f t="array" ref="P395">XLOOKUP(O395,Skills[Action],Skills[Icon],"")</f>
        <v/>
      </c>
      <c r="R395" s="5" t="str">
        <f t="array" ref="R395">XLOOKUP(Q395,Skills[Action],Skills[Icon],"")</f>
        <v/>
      </c>
      <c r="T395" s="5" t="str">
        <f t="array" ref="T395">XLOOKUP(S395,Skills[Action],Skills[Icon],"")</f>
        <v/>
      </c>
      <c r="V395" s="5" t="str">
        <f t="array" ref="V395">XLOOKUP(U395,Skills[Action],Skills[Icon],"")</f>
        <v/>
      </c>
    </row>
    <row r="396">
      <c r="C396" s="7">
        <v>0.004560185185185185</v>
      </c>
      <c r="L396" s="5" t="str">
        <f t="array" ref="L396">XLOOKUP(K396,Skills[Action],Skills[Icon],"")</f>
        <v/>
      </c>
      <c r="N396" s="5" t="str">
        <f t="array" ref="N396">XLOOKUP(M396,Skills[Action],Skills[Icon],"")</f>
        <v/>
      </c>
      <c r="P396" s="5" t="str">
        <f t="array" ref="P396">XLOOKUP(O396,Skills[Action],Skills[Icon],"")</f>
        <v/>
      </c>
      <c r="R396" s="5" t="str">
        <f t="array" ref="R396">XLOOKUP(Q396,Skills[Action],Skills[Icon],"")</f>
        <v/>
      </c>
      <c r="T396" s="5" t="str">
        <f t="array" ref="T396">XLOOKUP(S396,Skills[Action],Skills[Icon],"")</f>
        <v/>
      </c>
      <c r="V396" s="5" t="str">
        <f t="array" ref="V396">XLOOKUP(U396,Skills[Action],Skills[Icon],"")</f>
        <v/>
      </c>
    </row>
    <row r="397">
      <c r="C397" s="7">
        <v>0.004571759259259259</v>
      </c>
      <c r="L397" s="5" t="str">
        <f t="array" ref="L397">XLOOKUP(K397,Skills[Action],Skills[Icon],"")</f>
        <v/>
      </c>
      <c r="N397" s="5" t="str">
        <f t="array" ref="N397">XLOOKUP(M397,Skills[Action],Skills[Icon],"")</f>
        <v/>
      </c>
      <c r="P397" s="5" t="str">
        <f t="array" ref="P397">XLOOKUP(O397,Skills[Action],Skills[Icon],"")</f>
        <v/>
      </c>
      <c r="R397" s="5" t="str">
        <f t="array" ref="R397">XLOOKUP(Q397,Skills[Action],Skills[Icon],"")</f>
        <v/>
      </c>
      <c r="T397" s="5" t="str">
        <f t="array" ref="T397">XLOOKUP(S397,Skills[Action],Skills[Icon],"")</f>
        <v/>
      </c>
      <c r="V397" s="5" t="str">
        <f t="array" ref="V397">XLOOKUP(U397,Skills[Action],Skills[Icon],"")</f>
        <v/>
      </c>
    </row>
    <row r="398">
      <c r="C398" s="7">
        <v>0.004583333333333333</v>
      </c>
      <c r="L398" s="5" t="str">
        <f t="array" ref="L398">XLOOKUP(K398,Skills[Action],Skills[Icon],"")</f>
        <v/>
      </c>
      <c r="N398" s="5" t="str">
        <f t="array" ref="N398">XLOOKUP(M398,Skills[Action],Skills[Icon],"")</f>
        <v/>
      </c>
      <c r="P398" s="5" t="str">
        <f t="array" ref="P398">XLOOKUP(O398,Skills[Action],Skills[Icon],"")</f>
        <v/>
      </c>
      <c r="R398" s="5" t="str">
        <f t="array" ref="R398">XLOOKUP(Q398,Skills[Action],Skills[Icon],"")</f>
        <v/>
      </c>
      <c r="T398" s="5" t="str">
        <f t="array" ref="T398">XLOOKUP(S398,Skills[Action],Skills[Icon],"")</f>
        <v/>
      </c>
      <c r="V398" s="5" t="str">
        <f t="array" ref="V398">XLOOKUP(U398,Skills[Action],Skills[Icon],"")</f>
        <v/>
      </c>
    </row>
    <row r="399">
      <c r="C399" s="7">
        <v>0.004594907407407408</v>
      </c>
      <c r="L399" s="5" t="str">
        <f t="array" ref="L399">XLOOKUP(K399,Skills[Action],Skills[Icon],"")</f>
        <v/>
      </c>
      <c r="N399" s="5" t="str">
        <f t="array" ref="N399">XLOOKUP(M399,Skills[Action],Skills[Icon],"")</f>
        <v/>
      </c>
      <c r="P399" s="5" t="str">
        <f t="array" ref="P399">XLOOKUP(O399,Skills[Action],Skills[Icon],"")</f>
        <v/>
      </c>
      <c r="R399" s="5" t="str">
        <f t="array" ref="R399">XLOOKUP(Q399,Skills[Action],Skills[Icon],"")</f>
        <v/>
      </c>
      <c r="T399" s="5" t="str">
        <f t="array" ref="T399">XLOOKUP(S399,Skills[Action],Skills[Icon],"")</f>
        <v/>
      </c>
      <c r="V399" s="5" t="str">
        <f t="array" ref="V399">XLOOKUP(U399,Skills[Action],Skills[Icon],"")</f>
        <v/>
      </c>
    </row>
    <row r="400">
      <c r="C400" s="7">
        <v>0.004606481481481481</v>
      </c>
      <c r="L400" s="5" t="str">
        <f t="array" ref="L400">XLOOKUP(K400,Skills[Action],Skills[Icon],"")</f>
        <v/>
      </c>
      <c r="N400" s="5" t="str">
        <f t="array" ref="N400">XLOOKUP(M400,Skills[Action],Skills[Icon],"")</f>
        <v/>
      </c>
      <c r="P400" s="5" t="str">
        <f t="array" ref="P400">XLOOKUP(O400,Skills[Action],Skills[Icon],"")</f>
        <v/>
      </c>
      <c r="R400" s="5" t="str">
        <f t="array" ref="R400">XLOOKUP(Q400,Skills[Action],Skills[Icon],"")</f>
        <v/>
      </c>
      <c r="T400" s="5" t="str">
        <f t="array" ref="T400">XLOOKUP(S400,Skills[Action],Skills[Icon],"")</f>
        <v/>
      </c>
      <c r="V400" s="5" t="str">
        <f t="array" ref="V400">XLOOKUP(U400,Skills[Action],Skills[Icon],"")</f>
        <v/>
      </c>
    </row>
    <row r="401">
      <c r="C401" s="7">
        <v>0.004618055555555556</v>
      </c>
      <c r="L401" s="5" t="str">
        <f t="array" ref="L401">XLOOKUP(K401,Skills[Action],Skills[Icon],"")</f>
        <v/>
      </c>
      <c r="N401" s="5" t="str">
        <f t="array" ref="N401">XLOOKUP(M401,Skills[Action],Skills[Icon],"")</f>
        <v/>
      </c>
      <c r="P401" s="5" t="str">
        <f t="array" ref="P401">XLOOKUP(O401,Skills[Action],Skills[Icon],"")</f>
        <v/>
      </c>
      <c r="R401" s="5" t="str">
        <f t="array" ref="R401">XLOOKUP(Q401,Skills[Action],Skills[Icon],"")</f>
        <v/>
      </c>
      <c r="T401" s="5" t="str">
        <f t="array" ref="T401">XLOOKUP(S401,Skills[Action],Skills[Icon],"")</f>
        <v/>
      </c>
      <c r="V401" s="5" t="str">
        <f t="array" ref="V401">XLOOKUP(U401,Skills[Action],Skills[Icon],"")</f>
        <v/>
      </c>
    </row>
    <row r="402">
      <c r="C402" s="7">
        <v>0.004629629629629629</v>
      </c>
      <c r="L402" s="5" t="str">
        <f t="array" ref="L402">XLOOKUP(K402,Skills[Action],Skills[Icon],"")</f>
        <v/>
      </c>
      <c r="N402" s="5" t="str">
        <f t="array" ref="N402">XLOOKUP(M402,Skills[Action],Skills[Icon],"")</f>
        <v/>
      </c>
      <c r="P402" s="5" t="str">
        <f t="array" ref="P402">XLOOKUP(O402,Skills[Action],Skills[Icon],"")</f>
        <v/>
      </c>
      <c r="R402" s="5" t="str">
        <f t="array" ref="R402">XLOOKUP(Q402,Skills[Action],Skills[Icon],"")</f>
        <v/>
      </c>
      <c r="T402" s="5" t="str">
        <f t="array" ref="T402">XLOOKUP(S402,Skills[Action],Skills[Icon],"")</f>
        <v/>
      </c>
      <c r="V402" s="5" t="str">
        <f t="array" ref="V402">XLOOKUP(U402,Skills[Action],Skills[Icon],"")</f>
        <v/>
      </c>
    </row>
    <row r="403">
      <c r="C403" s="7">
        <v>0.004641203703703704</v>
      </c>
      <c r="L403" s="5" t="str">
        <f t="array" ref="L403">XLOOKUP(K403,Skills[Action],Skills[Icon],"")</f>
        <v/>
      </c>
      <c r="N403" s="5" t="str">
        <f t="array" ref="N403">XLOOKUP(M403,Skills[Action],Skills[Icon],"")</f>
        <v/>
      </c>
      <c r="P403" s="5" t="str">
        <f t="array" ref="P403">XLOOKUP(O403,Skills[Action],Skills[Icon],"")</f>
        <v/>
      </c>
      <c r="R403" s="5" t="str">
        <f t="array" ref="R403">XLOOKUP(Q403,Skills[Action],Skills[Icon],"")</f>
        <v/>
      </c>
      <c r="T403" s="5" t="str">
        <f t="array" ref="T403">XLOOKUP(S403,Skills[Action],Skills[Icon],"")</f>
        <v/>
      </c>
      <c r="V403" s="5" t="str">
        <f t="array" ref="V403">XLOOKUP(U403,Skills[Action],Skills[Icon],"")</f>
        <v/>
      </c>
    </row>
    <row r="404">
      <c r="C404" s="7">
        <v>0.004652777777777777</v>
      </c>
      <c r="L404" s="5" t="str">
        <f t="array" ref="L404">XLOOKUP(K404,Skills[Action],Skills[Icon],"")</f>
        <v/>
      </c>
      <c r="N404" s="5" t="str">
        <f t="array" ref="N404">XLOOKUP(M404,Skills[Action],Skills[Icon],"")</f>
        <v/>
      </c>
      <c r="P404" s="5" t="str">
        <f t="array" ref="P404">XLOOKUP(O404,Skills[Action],Skills[Icon],"")</f>
        <v/>
      </c>
      <c r="R404" s="5" t="str">
        <f t="array" ref="R404">XLOOKUP(Q404,Skills[Action],Skills[Icon],"")</f>
        <v/>
      </c>
      <c r="T404" s="5" t="str">
        <f t="array" ref="T404">XLOOKUP(S404,Skills[Action],Skills[Icon],"")</f>
        <v/>
      </c>
      <c r="V404" s="5" t="str">
        <f t="array" ref="V404">XLOOKUP(U404,Skills[Action],Skills[Icon],"")</f>
        <v/>
      </c>
    </row>
    <row r="405">
      <c r="C405" s="7">
        <v>0.004664351851851852</v>
      </c>
      <c r="L405" s="5" t="str">
        <f t="array" ref="L405">XLOOKUP(K405,Skills[Action],Skills[Icon],"")</f>
        <v/>
      </c>
      <c r="N405" s="5" t="str">
        <f t="array" ref="N405">XLOOKUP(M405,Skills[Action],Skills[Icon],"")</f>
        <v/>
      </c>
      <c r="P405" s="5" t="str">
        <f t="array" ref="P405">XLOOKUP(O405,Skills[Action],Skills[Icon],"")</f>
        <v/>
      </c>
      <c r="R405" s="5" t="str">
        <f t="array" ref="R405">XLOOKUP(Q405,Skills[Action],Skills[Icon],"")</f>
        <v/>
      </c>
      <c r="T405" s="5" t="str">
        <f t="array" ref="T405">XLOOKUP(S405,Skills[Action],Skills[Icon],"")</f>
        <v/>
      </c>
      <c r="V405" s="5" t="str">
        <f t="array" ref="V405">XLOOKUP(U405,Skills[Action],Skills[Icon],"")</f>
        <v/>
      </c>
    </row>
    <row r="406">
      <c r="C406" s="7">
        <v>0.004675925925925926</v>
      </c>
      <c r="L406" s="5" t="str">
        <f t="array" ref="L406">XLOOKUP(K406,Skills[Action],Skills[Icon],"")</f>
        <v/>
      </c>
      <c r="N406" s="5" t="str">
        <f t="array" ref="N406">XLOOKUP(M406,Skills[Action],Skills[Icon],"")</f>
        <v/>
      </c>
      <c r="P406" s="5" t="str">
        <f t="array" ref="P406">XLOOKUP(O406,Skills[Action],Skills[Icon],"")</f>
        <v/>
      </c>
      <c r="R406" s="5" t="str">
        <f t="array" ref="R406">XLOOKUP(Q406,Skills[Action],Skills[Icon],"")</f>
        <v/>
      </c>
      <c r="T406" s="5" t="str">
        <f t="array" ref="T406">XLOOKUP(S406,Skills[Action],Skills[Icon],"")</f>
        <v/>
      </c>
      <c r="V406" s="5" t="str">
        <f t="array" ref="V406">XLOOKUP(U406,Skills[Action],Skills[Icon],"")</f>
        <v/>
      </c>
    </row>
    <row r="407">
      <c r="C407" s="7">
        <v>0.0046875</v>
      </c>
      <c r="L407" s="5" t="str">
        <f t="array" ref="L407">XLOOKUP(K407,Skills[Action],Skills[Icon],"")</f>
        <v/>
      </c>
      <c r="N407" s="5" t="str">
        <f t="array" ref="N407">XLOOKUP(M407,Skills[Action],Skills[Icon],"")</f>
        <v/>
      </c>
      <c r="P407" s="5" t="str">
        <f t="array" ref="P407">XLOOKUP(O407,Skills[Action],Skills[Icon],"")</f>
        <v/>
      </c>
      <c r="R407" s="5" t="str">
        <f t="array" ref="R407">XLOOKUP(Q407,Skills[Action],Skills[Icon],"")</f>
        <v/>
      </c>
      <c r="T407" s="5" t="str">
        <f t="array" ref="T407">XLOOKUP(S407,Skills[Action],Skills[Icon],"")</f>
        <v/>
      </c>
      <c r="V407" s="5" t="str">
        <f t="array" ref="V407">XLOOKUP(U407,Skills[Action],Skills[Icon],"")</f>
        <v/>
      </c>
    </row>
    <row r="408">
      <c r="C408" s="7">
        <v>0.004699074074074074</v>
      </c>
      <c r="L408" s="5" t="str">
        <f t="array" ref="L408">XLOOKUP(K408,Skills[Action],Skills[Icon],"")</f>
        <v/>
      </c>
      <c r="N408" s="5" t="str">
        <f t="array" ref="N408">XLOOKUP(M408,Skills[Action],Skills[Icon],"")</f>
        <v/>
      </c>
      <c r="P408" s="5" t="str">
        <f t="array" ref="P408">XLOOKUP(O408,Skills[Action],Skills[Icon],"")</f>
        <v/>
      </c>
      <c r="R408" s="5" t="str">
        <f t="array" ref="R408">XLOOKUP(Q408,Skills[Action],Skills[Icon],"")</f>
        <v/>
      </c>
      <c r="T408" s="5" t="str">
        <f t="array" ref="T408">XLOOKUP(S408,Skills[Action],Skills[Icon],"")</f>
        <v/>
      </c>
      <c r="V408" s="5" t="str">
        <f t="array" ref="V408">XLOOKUP(U408,Skills[Action],Skills[Icon],"")</f>
        <v/>
      </c>
    </row>
    <row r="409">
      <c r="C409" s="7">
        <v>0.004710648148148148</v>
      </c>
      <c r="L409" s="5" t="str">
        <f t="array" ref="L409">XLOOKUP(K409,Skills[Action],Skills[Icon],"")</f>
        <v/>
      </c>
      <c r="N409" s="5" t="str">
        <f t="array" ref="N409">XLOOKUP(M409,Skills[Action],Skills[Icon],"")</f>
        <v/>
      </c>
      <c r="P409" s="5" t="str">
        <f t="array" ref="P409">XLOOKUP(O409,Skills[Action],Skills[Icon],"")</f>
        <v/>
      </c>
      <c r="R409" s="5" t="str">
        <f t="array" ref="R409">XLOOKUP(Q409,Skills[Action],Skills[Icon],"")</f>
        <v/>
      </c>
      <c r="T409" s="5" t="str">
        <f t="array" ref="T409">XLOOKUP(S409,Skills[Action],Skills[Icon],"")</f>
        <v/>
      </c>
      <c r="V409" s="5" t="str">
        <f t="array" ref="V409">XLOOKUP(U409,Skills[Action],Skills[Icon],"")</f>
        <v/>
      </c>
    </row>
    <row r="410">
      <c r="C410" s="7">
        <v>0.004722222222222222</v>
      </c>
      <c r="L410" s="5" t="str">
        <f t="array" ref="L410">XLOOKUP(K410,Skills[Action],Skills[Icon],"")</f>
        <v/>
      </c>
      <c r="N410" s="5" t="str">
        <f t="array" ref="N410">XLOOKUP(M410,Skills[Action],Skills[Icon],"")</f>
        <v/>
      </c>
      <c r="P410" s="5" t="str">
        <f t="array" ref="P410">XLOOKUP(O410,Skills[Action],Skills[Icon],"")</f>
        <v/>
      </c>
      <c r="R410" s="5" t="str">
        <f t="array" ref="R410">XLOOKUP(Q410,Skills[Action],Skills[Icon],"")</f>
        <v/>
      </c>
      <c r="T410" s="5" t="str">
        <f t="array" ref="T410">XLOOKUP(S410,Skills[Action],Skills[Icon],"")</f>
        <v/>
      </c>
      <c r="V410" s="5" t="str">
        <f t="array" ref="V410">XLOOKUP(U410,Skills[Action],Skills[Icon],"")</f>
        <v/>
      </c>
    </row>
    <row r="411">
      <c r="C411" s="7">
        <v>0.004733796296296297</v>
      </c>
      <c r="L411" s="5" t="str">
        <f t="array" ref="L411">XLOOKUP(K411,Skills[Action],Skills[Icon],"")</f>
        <v/>
      </c>
      <c r="N411" s="5" t="str">
        <f t="array" ref="N411">XLOOKUP(M411,Skills[Action],Skills[Icon],"")</f>
        <v/>
      </c>
      <c r="P411" s="5" t="str">
        <f t="array" ref="P411">XLOOKUP(O411,Skills[Action],Skills[Icon],"")</f>
        <v/>
      </c>
      <c r="R411" s="5" t="str">
        <f t="array" ref="R411">XLOOKUP(Q411,Skills[Action],Skills[Icon],"")</f>
        <v/>
      </c>
      <c r="T411" s="5" t="str">
        <f t="array" ref="T411">XLOOKUP(S411,Skills[Action],Skills[Icon],"")</f>
        <v/>
      </c>
      <c r="V411" s="5" t="str">
        <f t="array" ref="V411">XLOOKUP(U411,Skills[Action],Skills[Icon],"")</f>
        <v/>
      </c>
    </row>
    <row r="412">
      <c r="C412" s="7">
        <v>0.00474537037037037</v>
      </c>
      <c r="L412" s="5" t="str">
        <f t="array" ref="L412">XLOOKUP(K412,Skills[Action],Skills[Icon],"")</f>
        <v/>
      </c>
      <c r="N412" s="5" t="str">
        <f t="array" ref="N412">XLOOKUP(M412,Skills[Action],Skills[Icon],"")</f>
        <v/>
      </c>
      <c r="P412" s="5" t="str">
        <f t="array" ref="P412">XLOOKUP(O412,Skills[Action],Skills[Icon],"")</f>
        <v/>
      </c>
      <c r="R412" s="5" t="str">
        <f t="array" ref="R412">XLOOKUP(Q412,Skills[Action],Skills[Icon],"")</f>
        <v/>
      </c>
      <c r="T412" s="5" t="str">
        <f t="array" ref="T412">XLOOKUP(S412,Skills[Action],Skills[Icon],"")</f>
        <v/>
      </c>
      <c r="V412" s="5" t="str">
        <f t="array" ref="V412">XLOOKUP(U412,Skills[Action],Skills[Icon],"")</f>
        <v/>
      </c>
    </row>
    <row r="413">
      <c r="C413" s="7">
        <v>0.004756944444444445</v>
      </c>
      <c r="L413" s="5" t="str">
        <f t="array" ref="L413">XLOOKUP(K413,Skills[Action],Skills[Icon],"")</f>
        <v/>
      </c>
      <c r="N413" s="5" t="str">
        <f t="array" ref="N413">XLOOKUP(M413,Skills[Action],Skills[Icon],"")</f>
        <v/>
      </c>
      <c r="P413" s="5" t="str">
        <f t="array" ref="P413">XLOOKUP(O413,Skills[Action],Skills[Icon],"")</f>
        <v/>
      </c>
      <c r="R413" s="5" t="str">
        <f t="array" ref="R413">XLOOKUP(Q413,Skills[Action],Skills[Icon],"")</f>
        <v/>
      </c>
      <c r="T413" s="5" t="str">
        <f t="array" ref="T413">XLOOKUP(S413,Skills[Action],Skills[Icon],"")</f>
        <v/>
      </c>
      <c r="V413" s="5" t="str">
        <f t="array" ref="V413">XLOOKUP(U413,Skills[Action],Skills[Icon],"")</f>
        <v/>
      </c>
    </row>
    <row r="414">
      <c r="C414" s="7">
        <v>0.004768518518518518</v>
      </c>
      <c r="L414" s="5" t="str">
        <f t="array" ref="L414">XLOOKUP(K414,Skills[Action],Skills[Icon],"")</f>
        <v/>
      </c>
      <c r="N414" s="5" t="str">
        <f t="array" ref="N414">XLOOKUP(M414,Skills[Action],Skills[Icon],"")</f>
        <v/>
      </c>
      <c r="P414" s="5" t="str">
        <f t="array" ref="P414">XLOOKUP(O414,Skills[Action],Skills[Icon],"")</f>
        <v/>
      </c>
      <c r="R414" s="5" t="str">
        <f t="array" ref="R414">XLOOKUP(Q414,Skills[Action],Skills[Icon],"")</f>
        <v/>
      </c>
      <c r="T414" s="5" t="str">
        <f t="array" ref="T414">XLOOKUP(S414,Skills[Action],Skills[Icon],"")</f>
        <v/>
      </c>
      <c r="V414" s="5" t="str">
        <f t="array" ref="V414">XLOOKUP(U414,Skills[Action],Skills[Icon],"")</f>
        <v/>
      </c>
    </row>
    <row r="415">
      <c r="C415" s="7">
        <v>0.004780092592592593</v>
      </c>
      <c r="L415" s="5" t="str">
        <f t="array" ref="L415">XLOOKUP(K415,Skills[Action],Skills[Icon],"")</f>
        <v/>
      </c>
      <c r="N415" s="5" t="str">
        <f t="array" ref="N415">XLOOKUP(M415,Skills[Action],Skills[Icon],"")</f>
        <v/>
      </c>
      <c r="P415" s="5" t="str">
        <f t="array" ref="P415">XLOOKUP(O415,Skills[Action],Skills[Icon],"")</f>
        <v/>
      </c>
      <c r="R415" s="5" t="str">
        <f t="array" ref="R415">XLOOKUP(Q415,Skills[Action],Skills[Icon],"")</f>
        <v/>
      </c>
      <c r="T415" s="5" t="str">
        <f t="array" ref="T415">XLOOKUP(S415,Skills[Action],Skills[Icon],"")</f>
        <v/>
      </c>
      <c r="V415" s="5" t="str">
        <f t="array" ref="V415">XLOOKUP(U415,Skills[Action],Skills[Icon],"")</f>
        <v/>
      </c>
    </row>
    <row r="416">
      <c r="C416" s="7">
        <v>0.004791666666666666</v>
      </c>
      <c r="L416" s="5" t="str">
        <f t="array" ref="L416">XLOOKUP(K416,Skills[Action],Skills[Icon],"")</f>
        <v/>
      </c>
      <c r="N416" s="5" t="str">
        <f t="array" ref="N416">XLOOKUP(M416,Skills[Action],Skills[Icon],"")</f>
        <v/>
      </c>
      <c r="P416" s="5" t="str">
        <f t="array" ref="P416">XLOOKUP(O416,Skills[Action],Skills[Icon],"")</f>
        <v/>
      </c>
      <c r="R416" s="5" t="str">
        <f t="array" ref="R416">XLOOKUP(Q416,Skills[Action],Skills[Icon],"")</f>
        <v/>
      </c>
      <c r="T416" s="5" t="str">
        <f t="array" ref="T416">XLOOKUP(S416,Skills[Action],Skills[Icon],"")</f>
        <v/>
      </c>
      <c r="V416" s="5" t="str">
        <f t="array" ref="V416">XLOOKUP(U416,Skills[Action],Skills[Icon],"")</f>
        <v/>
      </c>
    </row>
    <row r="417">
      <c r="C417" s="7">
        <v>0.004803240740740741</v>
      </c>
      <c r="L417" s="5" t="str">
        <f t="array" ref="L417">XLOOKUP(K417,Skills[Action],Skills[Icon],"")</f>
        <v/>
      </c>
      <c r="N417" s="5" t="str">
        <f t="array" ref="N417">XLOOKUP(M417,Skills[Action],Skills[Icon],"")</f>
        <v/>
      </c>
      <c r="P417" s="5" t="str">
        <f t="array" ref="P417">XLOOKUP(O417,Skills[Action],Skills[Icon],"")</f>
        <v/>
      </c>
      <c r="R417" s="5" t="str">
        <f t="array" ref="R417">XLOOKUP(Q417,Skills[Action],Skills[Icon],"")</f>
        <v/>
      </c>
      <c r="T417" s="5" t="str">
        <f t="array" ref="T417">XLOOKUP(S417,Skills[Action],Skills[Icon],"")</f>
        <v/>
      </c>
      <c r="V417" s="5" t="str">
        <f t="array" ref="V417">XLOOKUP(U417,Skills[Action],Skills[Icon],"")</f>
        <v/>
      </c>
    </row>
    <row r="418">
      <c r="C418" s="7">
        <v>0.004814814814814815</v>
      </c>
      <c r="L418" s="5" t="str">
        <f t="array" ref="L418">XLOOKUP(K418,Skills[Action],Skills[Icon],"")</f>
        <v/>
      </c>
      <c r="N418" s="5" t="str">
        <f t="array" ref="N418">XLOOKUP(M418,Skills[Action],Skills[Icon],"")</f>
        <v/>
      </c>
      <c r="P418" s="5" t="str">
        <f t="array" ref="P418">XLOOKUP(O418,Skills[Action],Skills[Icon],"")</f>
        <v/>
      </c>
      <c r="R418" s="5" t="str">
        <f t="array" ref="R418">XLOOKUP(Q418,Skills[Action],Skills[Icon],"")</f>
        <v/>
      </c>
      <c r="T418" s="5" t="str">
        <f t="array" ref="T418">XLOOKUP(S418,Skills[Action],Skills[Icon],"")</f>
        <v/>
      </c>
      <c r="V418" s="5" t="str">
        <f t="array" ref="V418">XLOOKUP(U418,Skills[Action],Skills[Icon],"")</f>
        <v/>
      </c>
    </row>
    <row r="419">
      <c r="C419" s="7">
        <v>0.004826388888888889</v>
      </c>
      <c r="L419" s="5" t="str">
        <f t="array" ref="L419">XLOOKUP(K419,Skills[Action],Skills[Icon],"")</f>
        <v/>
      </c>
      <c r="N419" s="5" t="str">
        <f t="array" ref="N419">XLOOKUP(M419,Skills[Action],Skills[Icon],"")</f>
        <v/>
      </c>
      <c r="P419" s="5" t="str">
        <f t="array" ref="P419">XLOOKUP(O419,Skills[Action],Skills[Icon],"")</f>
        <v/>
      </c>
      <c r="R419" s="5" t="str">
        <f t="array" ref="R419">XLOOKUP(Q419,Skills[Action],Skills[Icon],"")</f>
        <v/>
      </c>
      <c r="T419" s="5" t="str">
        <f t="array" ref="T419">XLOOKUP(S419,Skills[Action],Skills[Icon],"")</f>
        <v/>
      </c>
      <c r="V419" s="5" t="str">
        <f t="array" ref="V419">XLOOKUP(U419,Skills[Action],Skills[Icon],"")</f>
        <v/>
      </c>
    </row>
    <row r="420">
      <c r="C420" s="7">
        <v>0.004837962962962963</v>
      </c>
      <c r="L420" s="5" t="str">
        <f t="array" ref="L420">XLOOKUP(K420,Skills[Action],Skills[Icon],"")</f>
        <v/>
      </c>
      <c r="N420" s="5" t="str">
        <f t="array" ref="N420">XLOOKUP(M420,Skills[Action],Skills[Icon],"")</f>
        <v/>
      </c>
      <c r="P420" s="5" t="str">
        <f t="array" ref="P420">XLOOKUP(O420,Skills[Action],Skills[Icon],"")</f>
        <v/>
      </c>
      <c r="R420" s="5" t="str">
        <f t="array" ref="R420">XLOOKUP(Q420,Skills[Action],Skills[Icon],"")</f>
        <v/>
      </c>
      <c r="T420" s="5" t="str">
        <f t="array" ref="T420">XLOOKUP(S420,Skills[Action],Skills[Icon],"")</f>
        <v/>
      </c>
      <c r="V420" s="5" t="str">
        <f t="array" ref="V420">XLOOKUP(U420,Skills[Action],Skills[Icon],"")</f>
        <v/>
      </c>
    </row>
    <row r="421">
      <c r="C421" s="7">
        <v>0.004849537037037037</v>
      </c>
      <c r="L421" s="5" t="str">
        <f t="array" ref="L421">XLOOKUP(K421,Skills[Action],Skills[Icon],"")</f>
        <v/>
      </c>
      <c r="N421" s="5" t="str">
        <f t="array" ref="N421">XLOOKUP(M421,Skills[Action],Skills[Icon],"")</f>
        <v/>
      </c>
      <c r="P421" s="5" t="str">
        <f t="array" ref="P421">XLOOKUP(O421,Skills[Action],Skills[Icon],"")</f>
        <v/>
      </c>
      <c r="R421" s="5" t="str">
        <f t="array" ref="R421">XLOOKUP(Q421,Skills[Action],Skills[Icon],"")</f>
        <v/>
      </c>
      <c r="T421" s="5" t="str">
        <f t="array" ref="T421">XLOOKUP(S421,Skills[Action],Skills[Icon],"")</f>
        <v/>
      </c>
      <c r="V421" s="5" t="str">
        <f t="array" ref="V421">XLOOKUP(U421,Skills[Action],Skills[Icon],"")</f>
        <v/>
      </c>
    </row>
    <row r="422">
      <c r="C422" s="7">
        <v>0.004861111111111111</v>
      </c>
      <c r="L422" s="5" t="str">
        <f t="array" ref="L422">XLOOKUP(K422,Skills[Action],Skills[Icon],"")</f>
        <v/>
      </c>
      <c r="N422" s="5" t="str">
        <f t="array" ref="N422">XLOOKUP(M422,Skills[Action],Skills[Icon],"")</f>
        <v/>
      </c>
      <c r="P422" s="5" t="str">
        <f t="array" ref="P422">XLOOKUP(O422,Skills[Action],Skills[Icon],"")</f>
        <v/>
      </c>
      <c r="R422" s="5" t="str">
        <f t="array" ref="R422">XLOOKUP(Q422,Skills[Action],Skills[Icon],"")</f>
        <v/>
      </c>
      <c r="T422" s="5" t="str">
        <f t="array" ref="T422">XLOOKUP(S422,Skills[Action],Skills[Icon],"")</f>
        <v/>
      </c>
      <c r="V422" s="5" t="str">
        <f t="array" ref="V422">XLOOKUP(U422,Skills[Action],Skills[Icon],"")</f>
        <v/>
      </c>
    </row>
    <row r="423">
      <c r="C423" s="7">
        <v>0.004872685185185185</v>
      </c>
      <c r="L423" s="5" t="str">
        <f t="array" ref="L423">XLOOKUP(K423,Skills[Action],Skills[Icon],"")</f>
        <v/>
      </c>
      <c r="N423" s="5" t="str">
        <f t="array" ref="N423">XLOOKUP(M423,Skills[Action],Skills[Icon],"")</f>
        <v/>
      </c>
      <c r="P423" s="5" t="str">
        <f t="array" ref="P423">XLOOKUP(O423,Skills[Action],Skills[Icon],"")</f>
        <v/>
      </c>
      <c r="R423" s="5" t="str">
        <f t="array" ref="R423">XLOOKUP(Q423,Skills[Action],Skills[Icon],"")</f>
        <v/>
      </c>
      <c r="T423" s="5" t="str">
        <f t="array" ref="T423">XLOOKUP(S423,Skills[Action],Skills[Icon],"")</f>
        <v/>
      </c>
      <c r="V423" s="5" t="str">
        <f t="array" ref="V423">XLOOKUP(U423,Skills[Action],Skills[Icon],"")</f>
        <v/>
      </c>
    </row>
    <row r="424">
      <c r="C424" s="7">
        <v>0.004884259259259259</v>
      </c>
      <c r="L424" s="5" t="str">
        <f t="array" ref="L424">XLOOKUP(K424,Skills[Action],Skills[Icon],"")</f>
        <v/>
      </c>
      <c r="N424" s="5" t="str">
        <f t="array" ref="N424">XLOOKUP(M424,Skills[Action],Skills[Icon],"")</f>
        <v/>
      </c>
      <c r="P424" s="5" t="str">
        <f t="array" ref="P424">XLOOKUP(O424,Skills[Action],Skills[Icon],"")</f>
        <v/>
      </c>
      <c r="R424" s="5" t="str">
        <f t="array" ref="R424">XLOOKUP(Q424,Skills[Action],Skills[Icon],"")</f>
        <v/>
      </c>
      <c r="T424" s="5" t="str">
        <f t="array" ref="T424">XLOOKUP(S424,Skills[Action],Skills[Icon],"")</f>
        <v/>
      </c>
      <c r="V424" s="5" t="str">
        <f t="array" ref="V424">XLOOKUP(U424,Skills[Action],Skills[Icon],"")</f>
        <v/>
      </c>
    </row>
    <row r="425">
      <c r="C425" s="7">
        <v>0.004895833333333334</v>
      </c>
      <c r="L425" s="5" t="str">
        <f t="array" ref="L425">XLOOKUP(K425,Skills[Action],Skills[Icon],"")</f>
        <v/>
      </c>
      <c r="N425" s="5" t="str">
        <f t="array" ref="N425">XLOOKUP(M425,Skills[Action],Skills[Icon],"")</f>
        <v/>
      </c>
      <c r="P425" s="5" t="str">
        <f t="array" ref="P425">XLOOKUP(O425,Skills[Action],Skills[Icon],"")</f>
        <v/>
      </c>
      <c r="R425" s="5" t="str">
        <f t="array" ref="R425">XLOOKUP(Q425,Skills[Action],Skills[Icon],"")</f>
        <v/>
      </c>
      <c r="T425" s="5" t="str">
        <f t="array" ref="T425">XLOOKUP(S425,Skills[Action],Skills[Icon],"")</f>
        <v/>
      </c>
      <c r="V425" s="5" t="str">
        <f t="array" ref="V425">XLOOKUP(U425,Skills[Action],Skills[Icon],"")</f>
        <v/>
      </c>
    </row>
    <row r="426">
      <c r="C426" s="7">
        <v>0.004907407407407407</v>
      </c>
      <c r="L426" s="5" t="str">
        <f t="array" ref="L426">XLOOKUP(K426,Skills[Action],Skills[Icon],"")</f>
        <v/>
      </c>
      <c r="N426" s="5" t="str">
        <f t="array" ref="N426">XLOOKUP(M426,Skills[Action],Skills[Icon],"")</f>
        <v/>
      </c>
      <c r="P426" s="5" t="str">
        <f t="array" ref="P426">XLOOKUP(O426,Skills[Action],Skills[Icon],"")</f>
        <v/>
      </c>
      <c r="R426" s="5" t="str">
        <f t="array" ref="R426">XLOOKUP(Q426,Skills[Action],Skills[Icon],"")</f>
        <v/>
      </c>
      <c r="T426" s="5" t="str">
        <f t="array" ref="T426">XLOOKUP(S426,Skills[Action],Skills[Icon],"")</f>
        <v/>
      </c>
      <c r="V426" s="5" t="str">
        <f t="array" ref="V426">XLOOKUP(U426,Skills[Action],Skills[Icon],"")</f>
        <v/>
      </c>
    </row>
    <row r="427">
      <c r="C427" s="7">
        <v>0.004918981481481482</v>
      </c>
      <c r="L427" s="5" t="str">
        <f t="array" ref="L427">XLOOKUP(K427,Skills[Action],Skills[Icon],"")</f>
        <v/>
      </c>
      <c r="N427" s="5" t="str">
        <f t="array" ref="N427">XLOOKUP(M427,Skills[Action],Skills[Icon],"")</f>
        <v/>
      </c>
      <c r="P427" s="5" t="str">
        <f t="array" ref="P427">XLOOKUP(O427,Skills[Action],Skills[Icon],"")</f>
        <v/>
      </c>
      <c r="R427" s="5" t="str">
        <f t="array" ref="R427">XLOOKUP(Q427,Skills[Action],Skills[Icon],"")</f>
        <v/>
      </c>
      <c r="T427" s="5" t="str">
        <f t="array" ref="T427">XLOOKUP(S427,Skills[Action],Skills[Icon],"")</f>
        <v/>
      </c>
      <c r="V427" s="5" t="str">
        <f t="array" ref="V427">XLOOKUP(U427,Skills[Action],Skills[Icon],"")</f>
        <v/>
      </c>
    </row>
    <row r="428">
      <c r="C428" s="7">
        <v>0.004930555555555555</v>
      </c>
      <c r="L428" s="5" t="str">
        <f t="array" ref="L428">XLOOKUP(K428,Skills[Action],Skills[Icon],"")</f>
        <v/>
      </c>
      <c r="N428" s="5" t="str">
        <f t="array" ref="N428">XLOOKUP(M428,Skills[Action],Skills[Icon],"")</f>
        <v/>
      </c>
      <c r="P428" s="5" t="str">
        <f t="array" ref="P428">XLOOKUP(O428,Skills[Action],Skills[Icon],"")</f>
        <v/>
      </c>
      <c r="R428" s="5" t="str">
        <f t="array" ref="R428">XLOOKUP(Q428,Skills[Action],Skills[Icon],"")</f>
        <v/>
      </c>
      <c r="T428" s="5" t="str">
        <f t="array" ref="T428">XLOOKUP(S428,Skills[Action],Skills[Icon],"")</f>
        <v/>
      </c>
      <c r="V428" s="5" t="str">
        <f t="array" ref="V428">XLOOKUP(U428,Skills[Action],Skills[Icon],"")</f>
        <v/>
      </c>
    </row>
    <row r="429">
      <c r="C429" s="7">
        <v>0.00494212962962963</v>
      </c>
      <c r="L429" s="5" t="str">
        <f t="array" ref="L429">XLOOKUP(K429,Skills[Action],Skills[Icon],"")</f>
        <v/>
      </c>
      <c r="N429" s="5" t="str">
        <f t="array" ref="N429">XLOOKUP(M429,Skills[Action],Skills[Icon],"")</f>
        <v/>
      </c>
      <c r="P429" s="5" t="str">
        <f t="array" ref="P429">XLOOKUP(O429,Skills[Action],Skills[Icon],"")</f>
        <v/>
      </c>
      <c r="R429" s="5" t="str">
        <f t="array" ref="R429">XLOOKUP(Q429,Skills[Action],Skills[Icon],"")</f>
        <v/>
      </c>
      <c r="T429" s="5" t="str">
        <f t="array" ref="T429">XLOOKUP(S429,Skills[Action],Skills[Icon],"")</f>
        <v/>
      </c>
      <c r="V429" s="5" t="str">
        <f t="array" ref="V429">XLOOKUP(U429,Skills[Action],Skills[Icon],"")</f>
        <v/>
      </c>
    </row>
    <row r="430">
      <c r="C430" s="7">
        <v>0.004953703703703704</v>
      </c>
      <c r="L430" s="5" t="str">
        <f t="array" ref="L430">XLOOKUP(K430,Skills[Action],Skills[Icon],"")</f>
        <v/>
      </c>
      <c r="N430" s="5" t="str">
        <f t="array" ref="N430">XLOOKUP(M430,Skills[Action],Skills[Icon],"")</f>
        <v/>
      </c>
      <c r="P430" s="5" t="str">
        <f t="array" ref="P430">XLOOKUP(O430,Skills[Action],Skills[Icon],"")</f>
        <v/>
      </c>
      <c r="R430" s="5" t="str">
        <f t="array" ref="R430">XLOOKUP(Q430,Skills[Action],Skills[Icon],"")</f>
        <v/>
      </c>
      <c r="T430" s="5" t="str">
        <f t="array" ref="T430">XLOOKUP(S430,Skills[Action],Skills[Icon],"")</f>
        <v/>
      </c>
      <c r="V430" s="5" t="str">
        <f t="array" ref="V430">XLOOKUP(U430,Skills[Action],Skills[Icon],"")</f>
        <v/>
      </c>
    </row>
    <row r="431">
      <c r="C431" s="7">
        <v>0.004965277777777778</v>
      </c>
      <c r="L431" s="5" t="str">
        <f t="array" ref="L431">XLOOKUP(K431,Skills[Action],Skills[Icon],"")</f>
        <v/>
      </c>
      <c r="N431" s="5" t="str">
        <f t="array" ref="N431">XLOOKUP(M431,Skills[Action],Skills[Icon],"")</f>
        <v/>
      </c>
      <c r="P431" s="5" t="str">
        <f t="array" ref="P431">XLOOKUP(O431,Skills[Action],Skills[Icon],"")</f>
        <v/>
      </c>
      <c r="R431" s="5" t="str">
        <f t="array" ref="R431">XLOOKUP(Q431,Skills[Action],Skills[Icon],"")</f>
        <v/>
      </c>
      <c r="T431" s="5" t="str">
        <f t="array" ref="T431">XLOOKUP(S431,Skills[Action],Skills[Icon],"")</f>
        <v/>
      </c>
      <c r="V431" s="5" t="str">
        <f t="array" ref="V431">XLOOKUP(U431,Skills[Action],Skills[Icon],"")</f>
        <v/>
      </c>
    </row>
    <row r="432">
      <c r="C432" s="7">
        <v>0.004976851851851852</v>
      </c>
      <c r="L432" s="5" t="str">
        <f t="array" ref="L432">XLOOKUP(K432,Skills[Action],Skills[Icon],"")</f>
        <v/>
      </c>
      <c r="N432" s="5" t="str">
        <f t="array" ref="N432">XLOOKUP(M432,Skills[Action],Skills[Icon],"")</f>
        <v/>
      </c>
      <c r="P432" s="5" t="str">
        <f t="array" ref="P432">XLOOKUP(O432,Skills[Action],Skills[Icon],"")</f>
        <v/>
      </c>
      <c r="R432" s="5" t="str">
        <f t="array" ref="R432">XLOOKUP(Q432,Skills[Action],Skills[Icon],"")</f>
        <v/>
      </c>
      <c r="T432" s="5" t="str">
        <f t="array" ref="T432">XLOOKUP(S432,Skills[Action],Skills[Icon],"")</f>
        <v/>
      </c>
      <c r="V432" s="5" t="str">
        <f t="array" ref="V432">XLOOKUP(U432,Skills[Action],Skills[Icon],"")</f>
        <v/>
      </c>
    </row>
    <row r="433">
      <c r="C433" s="7">
        <v>0.004988425925925926</v>
      </c>
      <c r="L433" s="5" t="str">
        <f t="array" ref="L433">XLOOKUP(K433,Skills[Action],Skills[Icon],"")</f>
        <v/>
      </c>
      <c r="N433" s="5" t="str">
        <f t="array" ref="N433">XLOOKUP(M433,Skills[Action],Skills[Icon],"")</f>
        <v/>
      </c>
      <c r="P433" s="5" t="str">
        <f t="array" ref="P433">XLOOKUP(O433,Skills[Action],Skills[Icon],"")</f>
        <v/>
      </c>
      <c r="R433" s="5" t="str">
        <f t="array" ref="R433">XLOOKUP(Q433,Skills[Action],Skills[Icon],"")</f>
        <v/>
      </c>
      <c r="T433" s="5" t="str">
        <f t="array" ref="T433">XLOOKUP(S433,Skills[Action],Skills[Icon],"")</f>
        <v/>
      </c>
      <c r="V433" s="5" t="str">
        <f t="array" ref="V433">XLOOKUP(U433,Skills[Action],Skills[Icon],"")</f>
        <v/>
      </c>
    </row>
    <row r="434">
      <c r="C434" s="7">
        <v>0.005</v>
      </c>
      <c r="L434" s="5" t="str">
        <f t="array" ref="L434">XLOOKUP(K434,Skills[Action],Skills[Icon],"")</f>
        <v/>
      </c>
      <c r="N434" s="5" t="str">
        <f t="array" ref="N434">XLOOKUP(M434,Skills[Action],Skills[Icon],"")</f>
        <v/>
      </c>
      <c r="P434" s="5" t="str">
        <f t="array" ref="P434">XLOOKUP(O434,Skills[Action],Skills[Icon],"")</f>
        <v/>
      </c>
      <c r="R434" s="5" t="str">
        <f t="array" ref="R434">XLOOKUP(Q434,Skills[Action],Skills[Icon],"")</f>
        <v/>
      </c>
      <c r="T434" s="5" t="str">
        <f t="array" ref="T434">XLOOKUP(S434,Skills[Action],Skills[Icon],"")</f>
        <v/>
      </c>
      <c r="V434" s="5" t="str">
        <f t="array" ref="V434">XLOOKUP(U434,Skills[Action],Skills[Icon],"")</f>
        <v/>
      </c>
    </row>
    <row r="435">
      <c r="C435" s="7">
        <v>0.005011574074074074</v>
      </c>
      <c r="L435" s="5" t="str">
        <f t="array" ref="L435">XLOOKUP(K435,Skills[Action],Skills[Icon],"")</f>
        <v/>
      </c>
      <c r="N435" s="5" t="str">
        <f t="array" ref="N435">XLOOKUP(M435,Skills[Action],Skills[Icon],"")</f>
        <v/>
      </c>
      <c r="P435" s="5" t="str">
        <f t="array" ref="P435">XLOOKUP(O435,Skills[Action],Skills[Icon],"")</f>
        <v/>
      </c>
      <c r="R435" s="5" t="str">
        <f t="array" ref="R435">XLOOKUP(Q435,Skills[Action],Skills[Icon],"")</f>
        <v/>
      </c>
      <c r="T435" s="5" t="str">
        <f t="array" ref="T435">XLOOKUP(S435,Skills[Action],Skills[Icon],"")</f>
        <v/>
      </c>
      <c r="V435" s="5" t="str">
        <f t="array" ref="V435">XLOOKUP(U435,Skills[Action],Skills[Icon],"")</f>
        <v/>
      </c>
    </row>
    <row r="436">
      <c r="C436" s="7">
        <v>0.005023148148148148</v>
      </c>
      <c r="L436" s="5" t="str">
        <f t="array" ref="L436">XLOOKUP(K436,Skills[Action],Skills[Icon],"")</f>
        <v/>
      </c>
      <c r="N436" s="5" t="str">
        <f t="array" ref="N436">XLOOKUP(M436,Skills[Action],Skills[Icon],"")</f>
        <v/>
      </c>
      <c r="P436" s="5" t="str">
        <f t="array" ref="P436">XLOOKUP(O436,Skills[Action],Skills[Icon],"")</f>
        <v/>
      </c>
      <c r="R436" s="5" t="str">
        <f t="array" ref="R436">XLOOKUP(Q436,Skills[Action],Skills[Icon],"")</f>
        <v/>
      </c>
      <c r="T436" s="5" t="str">
        <f t="array" ref="T436">XLOOKUP(S436,Skills[Action],Skills[Icon],"")</f>
        <v/>
      </c>
      <c r="V436" s="5" t="str">
        <f t="array" ref="V436">XLOOKUP(U436,Skills[Action],Skills[Icon],"")</f>
        <v/>
      </c>
    </row>
    <row r="437">
      <c r="C437" s="7">
        <v>0.0050347222222222225</v>
      </c>
      <c r="L437" s="5" t="str">
        <f t="array" ref="L437">XLOOKUP(K437,Skills[Action],Skills[Icon],"")</f>
        <v/>
      </c>
      <c r="N437" s="5" t="str">
        <f t="array" ref="N437">XLOOKUP(M437,Skills[Action],Skills[Icon],"")</f>
        <v/>
      </c>
      <c r="P437" s="5" t="str">
        <f t="array" ref="P437">XLOOKUP(O437,Skills[Action],Skills[Icon],"")</f>
        <v/>
      </c>
      <c r="R437" s="5" t="str">
        <f t="array" ref="R437">XLOOKUP(Q437,Skills[Action],Skills[Icon],"")</f>
        <v/>
      </c>
      <c r="T437" s="5" t="str">
        <f t="array" ref="T437">XLOOKUP(S437,Skills[Action],Skills[Icon],"")</f>
        <v/>
      </c>
      <c r="V437" s="5" t="str">
        <f t="array" ref="V437">XLOOKUP(U437,Skills[Action],Skills[Icon],"")</f>
        <v/>
      </c>
    </row>
    <row r="438">
      <c r="C438" s="7">
        <v>0.005046296296296296</v>
      </c>
      <c r="L438" s="5" t="str">
        <f t="array" ref="L438">XLOOKUP(K438,Skills[Action],Skills[Icon],"")</f>
        <v/>
      </c>
      <c r="N438" s="5" t="str">
        <f t="array" ref="N438">XLOOKUP(M438,Skills[Action],Skills[Icon],"")</f>
        <v/>
      </c>
      <c r="P438" s="5" t="str">
        <f t="array" ref="P438">XLOOKUP(O438,Skills[Action],Skills[Icon],"")</f>
        <v/>
      </c>
      <c r="R438" s="5" t="str">
        <f t="array" ref="R438">XLOOKUP(Q438,Skills[Action],Skills[Icon],"")</f>
        <v/>
      </c>
      <c r="T438" s="5" t="str">
        <f t="array" ref="T438">XLOOKUP(S438,Skills[Action],Skills[Icon],"")</f>
        <v/>
      </c>
      <c r="V438" s="5" t="str">
        <f t="array" ref="V438">XLOOKUP(U438,Skills[Action],Skills[Icon],"")</f>
        <v/>
      </c>
    </row>
    <row r="439">
      <c r="C439" s="7">
        <v>0.0050578703703703706</v>
      </c>
      <c r="L439" s="5" t="str">
        <f t="array" ref="L439">XLOOKUP(K439,Skills[Action],Skills[Icon],"")</f>
        <v/>
      </c>
      <c r="N439" s="5" t="str">
        <f t="array" ref="N439">XLOOKUP(M439,Skills[Action],Skills[Icon],"")</f>
        <v/>
      </c>
      <c r="P439" s="5" t="str">
        <f t="array" ref="P439">XLOOKUP(O439,Skills[Action],Skills[Icon],"")</f>
        <v/>
      </c>
      <c r="R439" s="5" t="str">
        <f t="array" ref="R439">XLOOKUP(Q439,Skills[Action],Skills[Icon],"")</f>
        <v/>
      </c>
      <c r="T439" s="5" t="str">
        <f t="array" ref="T439">XLOOKUP(S439,Skills[Action],Skills[Icon],"")</f>
        <v/>
      </c>
      <c r="V439" s="5" t="str">
        <f t="array" ref="V439">XLOOKUP(U439,Skills[Action],Skills[Icon],"")</f>
        <v/>
      </c>
    </row>
    <row r="440">
      <c r="C440" s="7">
        <v>0.005069444444444444</v>
      </c>
      <c r="L440" s="5" t="str">
        <f t="array" ref="L440">XLOOKUP(K440,Skills[Action],Skills[Icon],"")</f>
        <v/>
      </c>
      <c r="N440" s="5" t="str">
        <f t="array" ref="N440">XLOOKUP(M440,Skills[Action],Skills[Icon],"")</f>
        <v/>
      </c>
      <c r="P440" s="5" t="str">
        <f t="array" ref="P440">XLOOKUP(O440,Skills[Action],Skills[Icon],"")</f>
        <v/>
      </c>
      <c r="R440" s="5" t="str">
        <f t="array" ref="R440">XLOOKUP(Q440,Skills[Action],Skills[Icon],"")</f>
        <v/>
      </c>
      <c r="T440" s="5" t="str">
        <f t="array" ref="T440">XLOOKUP(S440,Skills[Action],Skills[Icon],"")</f>
        <v/>
      </c>
      <c r="V440" s="5" t="str">
        <f t="array" ref="V440">XLOOKUP(U440,Skills[Action],Skills[Icon],"")</f>
        <v/>
      </c>
    </row>
    <row r="441">
      <c r="C441" s="7">
        <v>0.0050810185185185186</v>
      </c>
      <c r="L441" s="5" t="str">
        <f t="array" ref="L441">XLOOKUP(K441,Skills[Action],Skills[Icon],"")</f>
        <v/>
      </c>
      <c r="N441" s="5" t="str">
        <f t="array" ref="N441">XLOOKUP(M441,Skills[Action],Skills[Icon],"")</f>
        <v/>
      </c>
      <c r="P441" s="5" t="str">
        <f t="array" ref="P441">XLOOKUP(O441,Skills[Action],Skills[Icon],"")</f>
        <v/>
      </c>
      <c r="R441" s="5" t="str">
        <f t="array" ref="R441">XLOOKUP(Q441,Skills[Action],Skills[Icon],"")</f>
        <v/>
      </c>
      <c r="T441" s="5" t="str">
        <f t="array" ref="T441">XLOOKUP(S441,Skills[Action],Skills[Icon],"")</f>
        <v/>
      </c>
      <c r="V441" s="5" t="str">
        <f t="array" ref="V441">XLOOKUP(U441,Skills[Action],Skills[Icon],"")</f>
        <v/>
      </c>
    </row>
    <row r="442">
      <c r="C442" s="7">
        <v>0.005092592592592593</v>
      </c>
      <c r="L442" s="5" t="str">
        <f t="array" ref="L442">XLOOKUP(K442,Skills[Action],Skills[Icon],"")</f>
        <v/>
      </c>
      <c r="N442" s="5" t="str">
        <f t="array" ref="N442">XLOOKUP(M442,Skills[Action],Skills[Icon],"")</f>
        <v/>
      </c>
      <c r="P442" s="5" t="str">
        <f t="array" ref="P442">XLOOKUP(O442,Skills[Action],Skills[Icon],"")</f>
        <v/>
      </c>
      <c r="R442" s="5" t="str">
        <f t="array" ref="R442">XLOOKUP(Q442,Skills[Action],Skills[Icon],"")</f>
        <v/>
      </c>
      <c r="T442" s="5" t="str">
        <f t="array" ref="T442">XLOOKUP(S442,Skills[Action],Skills[Icon],"")</f>
        <v/>
      </c>
      <c r="V442" s="5" t="str">
        <f t="array" ref="V442">XLOOKUP(U442,Skills[Action],Skills[Icon],"")</f>
        <v/>
      </c>
    </row>
    <row r="443">
      <c r="C443" s="7">
        <v>0.005104166666666667</v>
      </c>
      <c r="L443" s="5" t="str">
        <f t="array" ref="L443">XLOOKUP(K443,Skills[Action],Skills[Icon],"")</f>
        <v/>
      </c>
      <c r="N443" s="5" t="str">
        <f t="array" ref="N443">XLOOKUP(M443,Skills[Action],Skills[Icon],"")</f>
        <v/>
      </c>
      <c r="P443" s="5" t="str">
        <f t="array" ref="P443">XLOOKUP(O443,Skills[Action],Skills[Icon],"")</f>
        <v/>
      </c>
      <c r="R443" s="5" t="str">
        <f t="array" ref="R443">XLOOKUP(Q443,Skills[Action],Skills[Icon],"")</f>
        <v/>
      </c>
      <c r="T443" s="5" t="str">
        <f t="array" ref="T443">XLOOKUP(S443,Skills[Action],Skills[Icon],"")</f>
        <v/>
      </c>
      <c r="V443" s="5" t="str">
        <f t="array" ref="V443">XLOOKUP(U443,Skills[Action],Skills[Icon],"")</f>
        <v/>
      </c>
    </row>
    <row r="444">
      <c r="C444" s="7">
        <v>0.005115740740740741</v>
      </c>
      <c r="L444" s="5" t="str">
        <f t="array" ref="L444">XLOOKUP(K444,Skills[Action],Skills[Icon],"")</f>
        <v/>
      </c>
      <c r="N444" s="5" t="str">
        <f t="array" ref="N444">XLOOKUP(M444,Skills[Action],Skills[Icon],"")</f>
        <v/>
      </c>
      <c r="P444" s="5" t="str">
        <f t="array" ref="P444">XLOOKUP(O444,Skills[Action],Skills[Icon],"")</f>
        <v/>
      </c>
      <c r="R444" s="5" t="str">
        <f t="array" ref="R444">XLOOKUP(Q444,Skills[Action],Skills[Icon],"")</f>
        <v/>
      </c>
      <c r="T444" s="5" t="str">
        <f t="array" ref="T444">XLOOKUP(S444,Skills[Action],Skills[Icon],"")</f>
        <v/>
      </c>
      <c r="V444" s="5" t="str">
        <f t="array" ref="V444">XLOOKUP(U444,Skills[Action],Skills[Icon],"")</f>
        <v/>
      </c>
    </row>
    <row r="445">
      <c r="C445" s="7">
        <v>0.005127314814814815</v>
      </c>
      <c r="L445" s="5" t="str">
        <f t="array" ref="L445">XLOOKUP(K445,Skills[Action],Skills[Icon],"")</f>
        <v/>
      </c>
      <c r="N445" s="5" t="str">
        <f t="array" ref="N445">XLOOKUP(M445,Skills[Action],Skills[Icon],"")</f>
        <v/>
      </c>
      <c r="P445" s="5" t="str">
        <f t="array" ref="P445">XLOOKUP(O445,Skills[Action],Skills[Icon],"")</f>
        <v/>
      </c>
      <c r="R445" s="5" t="str">
        <f t="array" ref="R445">XLOOKUP(Q445,Skills[Action],Skills[Icon],"")</f>
        <v/>
      </c>
      <c r="T445" s="5" t="str">
        <f t="array" ref="T445">XLOOKUP(S445,Skills[Action],Skills[Icon],"")</f>
        <v/>
      </c>
      <c r="V445" s="5" t="str">
        <f t="array" ref="V445">XLOOKUP(U445,Skills[Action],Skills[Icon],"")</f>
        <v/>
      </c>
    </row>
    <row r="446">
      <c r="C446" s="7">
        <v>0.005138888888888889</v>
      </c>
      <c r="L446" s="5" t="str">
        <f t="array" ref="L446">XLOOKUP(K446,Skills[Action],Skills[Icon],"")</f>
        <v/>
      </c>
      <c r="N446" s="5" t="str">
        <f t="array" ref="N446">XLOOKUP(M446,Skills[Action],Skills[Icon],"")</f>
        <v/>
      </c>
      <c r="P446" s="5" t="str">
        <f t="array" ref="P446">XLOOKUP(O446,Skills[Action],Skills[Icon],"")</f>
        <v/>
      </c>
      <c r="R446" s="5" t="str">
        <f t="array" ref="R446">XLOOKUP(Q446,Skills[Action],Skills[Icon],"")</f>
        <v/>
      </c>
      <c r="T446" s="5" t="str">
        <f t="array" ref="T446">XLOOKUP(S446,Skills[Action],Skills[Icon],"")</f>
        <v/>
      </c>
      <c r="V446" s="5" t="str">
        <f t="array" ref="V446">XLOOKUP(U446,Skills[Action],Skills[Icon],"")</f>
        <v/>
      </c>
    </row>
    <row r="447">
      <c r="C447" s="7">
        <v>0.005150462962962963</v>
      </c>
      <c r="L447" s="5" t="str">
        <f t="array" ref="L447">XLOOKUP(K447,Skills[Action],Skills[Icon],"")</f>
        <v/>
      </c>
      <c r="N447" s="5" t="str">
        <f t="array" ref="N447">XLOOKUP(M447,Skills[Action],Skills[Icon],"")</f>
        <v/>
      </c>
      <c r="P447" s="5" t="str">
        <f t="array" ref="P447">XLOOKUP(O447,Skills[Action],Skills[Icon],"")</f>
        <v/>
      </c>
      <c r="R447" s="5" t="str">
        <f t="array" ref="R447">XLOOKUP(Q447,Skills[Action],Skills[Icon],"")</f>
        <v/>
      </c>
      <c r="T447" s="5" t="str">
        <f t="array" ref="T447">XLOOKUP(S447,Skills[Action],Skills[Icon],"")</f>
        <v/>
      </c>
      <c r="V447" s="5" t="str">
        <f t="array" ref="V447">XLOOKUP(U447,Skills[Action],Skills[Icon],"")</f>
        <v/>
      </c>
    </row>
    <row r="448">
      <c r="C448" s="7">
        <v>0.005162037037037037</v>
      </c>
      <c r="L448" s="5" t="str">
        <f t="array" ref="L448">XLOOKUP(K448,Skills[Action],Skills[Icon],"")</f>
        <v/>
      </c>
      <c r="N448" s="5" t="str">
        <f t="array" ref="N448">XLOOKUP(M448,Skills[Action],Skills[Icon],"")</f>
        <v/>
      </c>
      <c r="P448" s="5" t="str">
        <f t="array" ref="P448">XLOOKUP(O448,Skills[Action],Skills[Icon],"")</f>
        <v/>
      </c>
      <c r="R448" s="5" t="str">
        <f t="array" ref="R448">XLOOKUP(Q448,Skills[Action],Skills[Icon],"")</f>
        <v/>
      </c>
      <c r="T448" s="5" t="str">
        <f t="array" ref="T448">XLOOKUP(S448,Skills[Action],Skills[Icon],"")</f>
        <v/>
      </c>
      <c r="V448" s="5" t="str">
        <f t="array" ref="V448">XLOOKUP(U448,Skills[Action],Skills[Icon],"")</f>
        <v/>
      </c>
    </row>
    <row r="449">
      <c r="C449" s="7">
        <v>0.0051736111111111115</v>
      </c>
      <c r="L449" s="5" t="str">
        <f t="array" ref="L449">XLOOKUP(K449,Skills[Action],Skills[Icon],"")</f>
        <v/>
      </c>
      <c r="N449" s="5" t="str">
        <f t="array" ref="N449">XLOOKUP(M449,Skills[Action],Skills[Icon],"")</f>
        <v/>
      </c>
      <c r="P449" s="5" t="str">
        <f t="array" ref="P449">XLOOKUP(O449,Skills[Action],Skills[Icon],"")</f>
        <v/>
      </c>
      <c r="R449" s="5" t="str">
        <f t="array" ref="R449">XLOOKUP(Q449,Skills[Action],Skills[Icon],"")</f>
        <v/>
      </c>
      <c r="T449" s="5" t="str">
        <f t="array" ref="T449">XLOOKUP(S449,Skills[Action],Skills[Icon],"")</f>
        <v/>
      </c>
      <c r="V449" s="5" t="str">
        <f t="array" ref="V449">XLOOKUP(U449,Skills[Action],Skills[Icon],"")</f>
        <v/>
      </c>
    </row>
    <row r="450">
      <c r="C450" s="7">
        <v>0.005185185185185185</v>
      </c>
      <c r="L450" s="5" t="str">
        <f t="array" ref="L450">XLOOKUP(K450,Skills[Action],Skills[Icon],"")</f>
        <v/>
      </c>
      <c r="N450" s="5" t="str">
        <f t="array" ref="N450">XLOOKUP(M450,Skills[Action],Skills[Icon],"")</f>
        <v/>
      </c>
      <c r="P450" s="5" t="str">
        <f t="array" ref="P450">XLOOKUP(O450,Skills[Action],Skills[Icon],"")</f>
        <v/>
      </c>
      <c r="R450" s="5" t="str">
        <f t="array" ref="R450">XLOOKUP(Q450,Skills[Action],Skills[Icon],"")</f>
        <v/>
      </c>
      <c r="T450" s="5" t="str">
        <f t="array" ref="T450">XLOOKUP(S450,Skills[Action],Skills[Icon],"")</f>
        <v/>
      </c>
      <c r="V450" s="5" t="str">
        <f t="array" ref="V450">XLOOKUP(U450,Skills[Action],Skills[Icon],"")</f>
        <v/>
      </c>
    </row>
    <row r="451">
      <c r="C451" s="7">
        <v>0.0051967592592592595</v>
      </c>
      <c r="L451" s="5" t="str">
        <f t="array" ref="L451">XLOOKUP(K451,Skills[Action],Skills[Icon],"")</f>
        <v/>
      </c>
      <c r="N451" s="5" t="str">
        <f t="array" ref="N451">XLOOKUP(M451,Skills[Action],Skills[Icon],"")</f>
        <v/>
      </c>
      <c r="P451" s="5" t="str">
        <f t="array" ref="P451">XLOOKUP(O451,Skills[Action],Skills[Icon],"")</f>
        <v/>
      </c>
      <c r="R451" s="5" t="str">
        <f t="array" ref="R451">XLOOKUP(Q451,Skills[Action],Skills[Icon],"")</f>
        <v/>
      </c>
      <c r="T451" s="5" t="str">
        <f t="array" ref="T451">XLOOKUP(S451,Skills[Action],Skills[Icon],"")</f>
        <v/>
      </c>
      <c r="V451" s="5" t="str">
        <f t="array" ref="V451">XLOOKUP(U451,Skills[Action],Skills[Icon],"")</f>
        <v/>
      </c>
    </row>
    <row r="452">
      <c r="C452" s="7">
        <v>0.005208333333333333</v>
      </c>
      <c r="L452" s="5" t="str">
        <f t="array" ref="L452">XLOOKUP(K452,Skills[Action],Skills[Icon],"")</f>
        <v/>
      </c>
      <c r="N452" s="5" t="str">
        <f t="array" ref="N452">XLOOKUP(M452,Skills[Action],Skills[Icon],"")</f>
        <v/>
      </c>
      <c r="P452" s="5" t="str">
        <f t="array" ref="P452">XLOOKUP(O452,Skills[Action],Skills[Icon],"")</f>
        <v/>
      </c>
      <c r="R452" s="5" t="str">
        <f t="array" ref="R452">XLOOKUP(Q452,Skills[Action],Skills[Icon],"")</f>
        <v/>
      </c>
      <c r="T452" s="5" t="str">
        <f t="array" ref="T452">XLOOKUP(S452,Skills[Action],Skills[Icon],"")</f>
        <v/>
      </c>
      <c r="V452" s="5" t="str">
        <f t="array" ref="V452">XLOOKUP(U452,Skills[Action],Skills[Icon],"")</f>
        <v/>
      </c>
    </row>
    <row r="453">
      <c r="C453" s="7">
        <v>0.0052199074074074075</v>
      </c>
      <c r="L453" s="5" t="str">
        <f t="array" ref="L453">XLOOKUP(K453,Skills[Action],Skills[Icon],"")</f>
        <v/>
      </c>
      <c r="N453" s="5" t="str">
        <f t="array" ref="N453">XLOOKUP(M453,Skills[Action],Skills[Icon],"")</f>
        <v/>
      </c>
      <c r="P453" s="5" t="str">
        <f t="array" ref="P453">XLOOKUP(O453,Skills[Action],Skills[Icon],"")</f>
        <v/>
      </c>
      <c r="R453" s="5" t="str">
        <f t="array" ref="R453">XLOOKUP(Q453,Skills[Action],Skills[Icon],"")</f>
        <v/>
      </c>
      <c r="T453" s="5" t="str">
        <f t="array" ref="T453">XLOOKUP(S453,Skills[Action],Skills[Icon],"")</f>
        <v/>
      </c>
      <c r="V453" s="5" t="str">
        <f t="array" ref="V453">XLOOKUP(U453,Skills[Action],Skills[Icon],"")</f>
        <v/>
      </c>
    </row>
    <row r="454">
      <c r="C454" s="7">
        <v>0.005231481481481481</v>
      </c>
      <c r="L454" s="5" t="str">
        <f t="array" ref="L454">XLOOKUP(K454,Skills[Action],Skills[Icon],"")</f>
        <v/>
      </c>
      <c r="N454" s="5" t="str">
        <f t="array" ref="N454">XLOOKUP(M454,Skills[Action],Skills[Icon],"")</f>
        <v/>
      </c>
      <c r="P454" s="5" t="str">
        <f t="array" ref="P454">XLOOKUP(O454,Skills[Action],Skills[Icon],"")</f>
        <v/>
      </c>
      <c r="R454" s="5" t="str">
        <f t="array" ref="R454">XLOOKUP(Q454,Skills[Action],Skills[Icon],"")</f>
        <v/>
      </c>
      <c r="T454" s="5" t="str">
        <f t="array" ref="T454">XLOOKUP(S454,Skills[Action],Skills[Icon],"")</f>
        <v/>
      </c>
      <c r="V454" s="5" t="str">
        <f t="array" ref="V454">XLOOKUP(U454,Skills[Action],Skills[Icon],"")</f>
        <v/>
      </c>
    </row>
    <row r="455">
      <c r="C455" s="7">
        <v>0.0052430555555555555</v>
      </c>
      <c r="L455" s="5" t="str">
        <f t="array" ref="L455">XLOOKUP(K455,Skills[Action],Skills[Icon],"")</f>
        <v/>
      </c>
      <c r="N455" s="5" t="str">
        <f t="array" ref="N455">XLOOKUP(M455,Skills[Action],Skills[Icon],"")</f>
        <v/>
      </c>
      <c r="P455" s="5" t="str">
        <f t="array" ref="P455">XLOOKUP(O455,Skills[Action],Skills[Icon],"")</f>
        <v/>
      </c>
      <c r="R455" s="5" t="str">
        <f t="array" ref="R455">XLOOKUP(Q455,Skills[Action],Skills[Icon],"")</f>
        <v/>
      </c>
      <c r="T455" s="5" t="str">
        <f t="array" ref="T455">XLOOKUP(S455,Skills[Action],Skills[Icon],"")</f>
        <v/>
      </c>
      <c r="V455" s="5" t="str">
        <f t="array" ref="V455">XLOOKUP(U455,Skills[Action],Skills[Icon],"")</f>
        <v/>
      </c>
    </row>
    <row r="456">
      <c r="C456" s="7">
        <v>0.00525462962962963</v>
      </c>
      <c r="L456" s="5" t="str">
        <f t="array" ref="L456">XLOOKUP(K456,Skills[Action],Skills[Icon],"")</f>
        <v/>
      </c>
      <c r="N456" s="5" t="str">
        <f t="array" ref="N456">XLOOKUP(M456,Skills[Action],Skills[Icon],"")</f>
        <v/>
      </c>
      <c r="P456" s="5" t="str">
        <f t="array" ref="P456">XLOOKUP(O456,Skills[Action],Skills[Icon],"")</f>
        <v/>
      </c>
      <c r="R456" s="5" t="str">
        <f t="array" ref="R456">XLOOKUP(Q456,Skills[Action],Skills[Icon],"")</f>
        <v/>
      </c>
      <c r="T456" s="5" t="str">
        <f t="array" ref="T456">XLOOKUP(S456,Skills[Action],Skills[Icon],"")</f>
        <v/>
      </c>
      <c r="V456" s="5" t="str">
        <f t="array" ref="V456">XLOOKUP(U456,Skills[Action],Skills[Icon],"")</f>
        <v/>
      </c>
    </row>
    <row r="457">
      <c r="C457" s="7">
        <v>0.0052662037037037035</v>
      </c>
      <c r="L457" s="5" t="str">
        <f t="array" ref="L457">XLOOKUP(K457,Skills[Action],Skills[Icon],"")</f>
        <v/>
      </c>
      <c r="N457" s="5" t="str">
        <f t="array" ref="N457">XLOOKUP(M457,Skills[Action],Skills[Icon],"")</f>
        <v/>
      </c>
      <c r="P457" s="5" t="str">
        <f t="array" ref="P457">XLOOKUP(O457,Skills[Action],Skills[Icon],"")</f>
        <v/>
      </c>
      <c r="R457" s="5" t="str">
        <f t="array" ref="R457">XLOOKUP(Q457,Skills[Action],Skills[Icon],"")</f>
        <v/>
      </c>
      <c r="T457" s="5" t="str">
        <f t="array" ref="T457">XLOOKUP(S457,Skills[Action],Skills[Icon],"")</f>
        <v/>
      </c>
      <c r="V457" s="5" t="str">
        <f t="array" ref="V457">XLOOKUP(U457,Skills[Action],Skills[Icon],"")</f>
        <v/>
      </c>
    </row>
    <row r="458">
      <c r="C458" s="7">
        <v>0.005277777777777778</v>
      </c>
      <c r="L458" s="5" t="str">
        <f t="array" ref="L458">XLOOKUP(K458,Skills[Action],Skills[Icon],"")</f>
        <v/>
      </c>
      <c r="N458" s="5" t="str">
        <f t="array" ref="N458">XLOOKUP(M458,Skills[Action],Skills[Icon],"")</f>
        <v/>
      </c>
      <c r="P458" s="5" t="str">
        <f t="array" ref="P458">XLOOKUP(O458,Skills[Action],Skills[Icon],"")</f>
        <v/>
      </c>
      <c r="R458" s="5" t="str">
        <f t="array" ref="R458">XLOOKUP(Q458,Skills[Action],Skills[Icon],"")</f>
        <v/>
      </c>
      <c r="T458" s="5" t="str">
        <f t="array" ref="T458">XLOOKUP(S458,Skills[Action],Skills[Icon],"")</f>
        <v/>
      </c>
      <c r="V458" s="5" t="str">
        <f t="array" ref="V458">XLOOKUP(U458,Skills[Action],Skills[Icon],"")</f>
        <v/>
      </c>
    </row>
    <row r="459">
      <c r="C459" s="7">
        <v>0.0052893518518518515</v>
      </c>
      <c r="L459" s="5" t="str">
        <f t="array" ref="L459">XLOOKUP(K459,Skills[Action],Skills[Icon],"")</f>
        <v/>
      </c>
      <c r="N459" s="5" t="str">
        <f t="array" ref="N459">XLOOKUP(M459,Skills[Action],Skills[Icon],"")</f>
        <v/>
      </c>
      <c r="P459" s="5" t="str">
        <f t="array" ref="P459">XLOOKUP(O459,Skills[Action],Skills[Icon],"")</f>
        <v/>
      </c>
      <c r="R459" s="5" t="str">
        <f t="array" ref="R459">XLOOKUP(Q459,Skills[Action],Skills[Icon],"")</f>
        <v/>
      </c>
      <c r="T459" s="5" t="str">
        <f t="array" ref="T459">XLOOKUP(S459,Skills[Action],Skills[Icon],"")</f>
        <v/>
      </c>
      <c r="V459" s="5" t="str">
        <f t="array" ref="V459">XLOOKUP(U459,Skills[Action],Skills[Icon],"")</f>
        <v/>
      </c>
    </row>
    <row r="460">
      <c r="C460" s="7">
        <v>0.005300925925925926</v>
      </c>
      <c r="L460" s="5" t="str">
        <f t="array" ref="L460">XLOOKUP(K460,Skills[Action],Skills[Icon],"")</f>
        <v/>
      </c>
      <c r="N460" s="5" t="str">
        <f t="array" ref="N460">XLOOKUP(M460,Skills[Action],Skills[Icon],"")</f>
        <v/>
      </c>
      <c r="P460" s="5" t="str">
        <f t="array" ref="P460">XLOOKUP(O460,Skills[Action],Skills[Icon],"")</f>
        <v/>
      </c>
      <c r="R460" s="5" t="str">
        <f t="array" ref="R460">XLOOKUP(Q460,Skills[Action],Skills[Icon],"")</f>
        <v/>
      </c>
      <c r="T460" s="5" t="str">
        <f t="array" ref="T460">XLOOKUP(S460,Skills[Action],Skills[Icon],"")</f>
        <v/>
      </c>
      <c r="V460" s="5" t="str">
        <f t="array" ref="V460">XLOOKUP(U460,Skills[Action],Skills[Icon],"")</f>
        <v/>
      </c>
    </row>
    <row r="461">
      <c r="C461" s="7">
        <v>0.0053125</v>
      </c>
      <c r="L461" s="5" t="str">
        <f t="array" ref="L461">XLOOKUP(K461,Skills[Action],Skills[Icon],"")</f>
        <v/>
      </c>
      <c r="N461" s="5" t="str">
        <f t="array" ref="N461">XLOOKUP(M461,Skills[Action],Skills[Icon],"")</f>
        <v/>
      </c>
      <c r="P461" s="5" t="str">
        <f t="array" ref="P461">XLOOKUP(O461,Skills[Action],Skills[Icon],"")</f>
        <v/>
      </c>
      <c r="R461" s="5" t="str">
        <f t="array" ref="R461">XLOOKUP(Q461,Skills[Action],Skills[Icon],"")</f>
        <v/>
      </c>
      <c r="T461" s="5" t="str">
        <f t="array" ref="T461">XLOOKUP(S461,Skills[Action],Skills[Icon],"")</f>
        <v/>
      </c>
      <c r="V461" s="5" t="str">
        <f t="array" ref="V461">XLOOKUP(U461,Skills[Action],Skills[Icon],"")</f>
        <v/>
      </c>
    </row>
    <row r="462">
      <c r="C462" s="7">
        <v>0.005324074074074074</v>
      </c>
      <c r="L462" s="5" t="str">
        <f t="array" ref="L462">XLOOKUP(K462,Skills[Action],Skills[Icon],"")</f>
        <v/>
      </c>
      <c r="N462" s="5" t="str">
        <f t="array" ref="N462">XLOOKUP(M462,Skills[Action],Skills[Icon],"")</f>
        <v/>
      </c>
      <c r="P462" s="5" t="str">
        <f t="array" ref="P462">XLOOKUP(O462,Skills[Action],Skills[Icon],"")</f>
        <v/>
      </c>
      <c r="R462" s="5" t="str">
        <f t="array" ref="R462">XLOOKUP(Q462,Skills[Action],Skills[Icon],"")</f>
        <v/>
      </c>
      <c r="T462" s="5" t="str">
        <f t="array" ref="T462">XLOOKUP(S462,Skills[Action],Skills[Icon],"")</f>
        <v/>
      </c>
      <c r="V462" s="5" t="str">
        <f t="array" ref="V462">XLOOKUP(U462,Skills[Action],Skills[Icon],"")</f>
        <v/>
      </c>
    </row>
    <row r="463">
      <c r="C463" s="7">
        <v>0.005335648148148148</v>
      </c>
      <c r="L463" s="5" t="str">
        <f t="array" ref="L463">XLOOKUP(K463,Skills[Action],Skills[Icon],"")</f>
        <v/>
      </c>
      <c r="N463" s="5" t="str">
        <f t="array" ref="N463">XLOOKUP(M463,Skills[Action],Skills[Icon],"")</f>
        <v/>
      </c>
      <c r="P463" s="5" t="str">
        <f t="array" ref="P463">XLOOKUP(O463,Skills[Action],Skills[Icon],"")</f>
        <v/>
      </c>
      <c r="R463" s="5" t="str">
        <f t="array" ref="R463">XLOOKUP(Q463,Skills[Action],Skills[Icon],"")</f>
        <v/>
      </c>
      <c r="T463" s="5" t="str">
        <f t="array" ref="T463">XLOOKUP(S463,Skills[Action],Skills[Icon],"")</f>
        <v/>
      </c>
      <c r="V463" s="5" t="str">
        <f t="array" ref="V463">XLOOKUP(U463,Skills[Action],Skills[Icon],"")</f>
        <v/>
      </c>
    </row>
    <row r="464">
      <c r="C464" s="7">
        <v>0.005347222222222222</v>
      </c>
      <c r="L464" s="5" t="str">
        <f t="array" ref="L464">XLOOKUP(K464,Skills[Action],Skills[Icon],"")</f>
        <v/>
      </c>
      <c r="N464" s="5" t="str">
        <f t="array" ref="N464">XLOOKUP(M464,Skills[Action],Skills[Icon],"")</f>
        <v/>
      </c>
      <c r="P464" s="5" t="str">
        <f t="array" ref="P464">XLOOKUP(O464,Skills[Action],Skills[Icon],"")</f>
        <v/>
      </c>
      <c r="R464" s="5" t="str">
        <f t="array" ref="R464">XLOOKUP(Q464,Skills[Action],Skills[Icon],"")</f>
        <v/>
      </c>
      <c r="T464" s="5" t="str">
        <f t="array" ref="T464">XLOOKUP(S464,Skills[Action],Skills[Icon],"")</f>
        <v/>
      </c>
      <c r="V464" s="5" t="str">
        <f t="array" ref="V464">XLOOKUP(U464,Skills[Action],Skills[Icon],"")</f>
        <v/>
      </c>
    </row>
    <row r="465">
      <c r="C465" s="7">
        <v>0.005358796296296296</v>
      </c>
      <c r="L465" s="5" t="str">
        <f t="array" ref="L465">XLOOKUP(K465,Skills[Action],Skills[Icon],"")</f>
        <v/>
      </c>
      <c r="N465" s="5" t="str">
        <f t="array" ref="N465">XLOOKUP(M465,Skills[Action],Skills[Icon],"")</f>
        <v/>
      </c>
      <c r="P465" s="5" t="str">
        <f t="array" ref="P465">XLOOKUP(O465,Skills[Action],Skills[Icon],"")</f>
        <v/>
      </c>
      <c r="R465" s="5" t="str">
        <f t="array" ref="R465">XLOOKUP(Q465,Skills[Action],Skills[Icon],"")</f>
        <v/>
      </c>
      <c r="T465" s="5" t="str">
        <f t="array" ref="T465">XLOOKUP(S465,Skills[Action],Skills[Icon],"")</f>
        <v/>
      </c>
      <c r="V465" s="5" t="str">
        <f t="array" ref="V465">XLOOKUP(U465,Skills[Action],Skills[Icon],"")</f>
        <v/>
      </c>
    </row>
    <row r="466">
      <c r="C466" s="7">
        <v>0.00537037037037037</v>
      </c>
      <c r="L466" s="5" t="str">
        <f t="array" ref="L466">XLOOKUP(K466,Skills[Action],Skills[Icon],"")</f>
        <v/>
      </c>
      <c r="N466" s="5" t="str">
        <f t="array" ref="N466">XLOOKUP(M466,Skills[Action],Skills[Icon],"")</f>
        <v/>
      </c>
      <c r="P466" s="5" t="str">
        <f t="array" ref="P466">XLOOKUP(O466,Skills[Action],Skills[Icon],"")</f>
        <v/>
      </c>
      <c r="R466" s="5" t="str">
        <f t="array" ref="R466">XLOOKUP(Q466,Skills[Action],Skills[Icon],"")</f>
        <v/>
      </c>
      <c r="T466" s="5" t="str">
        <f t="array" ref="T466">XLOOKUP(S466,Skills[Action],Skills[Icon],"")</f>
        <v/>
      </c>
      <c r="V466" s="5" t="str">
        <f t="array" ref="V466">XLOOKUP(U466,Skills[Action],Skills[Icon],"")</f>
        <v/>
      </c>
    </row>
    <row r="467">
      <c r="C467" s="7">
        <v>0.005381944444444444</v>
      </c>
      <c r="L467" s="5" t="str">
        <f t="array" ref="L467">XLOOKUP(K467,Skills[Action],Skills[Icon],"")</f>
        <v/>
      </c>
      <c r="N467" s="5" t="str">
        <f t="array" ref="N467">XLOOKUP(M467,Skills[Action],Skills[Icon],"")</f>
        <v/>
      </c>
      <c r="P467" s="5" t="str">
        <f t="array" ref="P467">XLOOKUP(O467,Skills[Action],Skills[Icon],"")</f>
        <v/>
      </c>
      <c r="R467" s="5" t="str">
        <f t="array" ref="R467">XLOOKUP(Q467,Skills[Action],Skills[Icon],"")</f>
        <v/>
      </c>
      <c r="T467" s="5" t="str">
        <f t="array" ref="T467">XLOOKUP(S467,Skills[Action],Skills[Icon],"")</f>
        <v/>
      </c>
      <c r="V467" s="5" t="str">
        <f t="array" ref="V467">XLOOKUP(U467,Skills[Action],Skills[Icon],"")</f>
        <v/>
      </c>
    </row>
    <row r="468">
      <c r="C468" s="7">
        <v>0.005393518518518519</v>
      </c>
      <c r="L468" s="5" t="str">
        <f t="array" ref="L468">XLOOKUP(K468,Skills[Action],Skills[Icon],"")</f>
        <v/>
      </c>
      <c r="N468" s="5" t="str">
        <f t="array" ref="N468">XLOOKUP(M468,Skills[Action],Skills[Icon],"")</f>
        <v/>
      </c>
      <c r="P468" s="5" t="str">
        <f t="array" ref="P468">XLOOKUP(O468,Skills[Action],Skills[Icon],"")</f>
        <v/>
      </c>
      <c r="R468" s="5" t="str">
        <f t="array" ref="R468">XLOOKUP(Q468,Skills[Action],Skills[Icon],"")</f>
        <v/>
      </c>
      <c r="T468" s="5" t="str">
        <f t="array" ref="T468">XLOOKUP(S468,Skills[Action],Skills[Icon],"")</f>
        <v/>
      </c>
      <c r="V468" s="5" t="str">
        <f t="array" ref="V468">XLOOKUP(U468,Skills[Action],Skills[Icon],"")</f>
        <v/>
      </c>
    </row>
    <row r="469">
      <c r="C469" s="7">
        <v>0.005405092592592592</v>
      </c>
      <c r="L469" s="5" t="str">
        <f t="array" ref="L469">XLOOKUP(K469,Skills[Action],Skills[Icon],"")</f>
        <v/>
      </c>
      <c r="N469" s="5" t="str">
        <f t="array" ref="N469">XLOOKUP(M469,Skills[Action],Skills[Icon],"")</f>
        <v/>
      </c>
      <c r="P469" s="5" t="str">
        <f t="array" ref="P469">XLOOKUP(O469,Skills[Action],Skills[Icon],"")</f>
        <v/>
      </c>
      <c r="R469" s="5" t="str">
        <f t="array" ref="R469">XLOOKUP(Q469,Skills[Action],Skills[Icon],"")</f>
        <v/>
      </c>
      <c r="T469" s="5" t="str">
        <f t="array" ref="T469">XLOOKUP(S469,Skills[Action],Skills[Icon],"")</f>
        <v/>
      </c>
      <c r="V469" s="5" t="str">
        <f t="array" ref="V469">XLOOKUP(U469,Skills[Action],Skills[Icon],"")</f>
        <v/>
      </c>
    </row>
    <row r="470">
      <c r="C470" s="7">
        <v>0.005416666666666667</v>
      </c>
      <c r="L470" s="5" t="str">
        <f t="array" ref="L470">XLOOKUP(K470,Skills[Action],Skills[Icon],"")</f>
        <v/>
      </c>
      <c r="N470" s="5" t="str">
        <f t="array" ref="N470">XLOOKUP(M470,Skills[Action],Skills[Icon],"")</f>
        <v/>
      </c>
      <c r="P470" s="5" t="str">
        <f t="array" ref="P470">XLOOKUP(O470,Skills[Action],Skills[Icon],"")</f>
        <v/>
      </c>
      <c r="R470" s="5" t="str">
        <f t="array" ref="R470">XLOOKUP(Q470,Skills[Action],Skills[Icon],"")</f>
        <v/>
      </c>
      <c r="T470" s="5" t="str">
        <f t="array" ref="T470">XLOOKUP(S470,Skills[Action],Skills[Icon],"")</f>
        <v/>
      </c>
      <c r="V470" s="5" t="str">
        <f t="array" ref="V470">XLOOKUP(U470,Skills[Action],Skills[Icon],"")</f>
        <v/>
      </c>
    </row>
    <row r="471">
      <c r="C471" s="7">
        <v>0.00542824074074074</v>
      </c>
      <c r="L471" s="5" t="str">
        <f t="array" ref="L471">XLOOKUP(K471,Skills[Action],Skills[Icon],"")</f>
        <v/>
      </c>
      <c r="N471" s="5" t="str">
        <f t="array" ref="N471">XLOOKUP(M471,Skills[Action],Skills[Icon],"")</f>
        <v/>
      </c>
      <c r="P471" s="5" t="str">
        <f t="array" ref="P471">XLOOKUP(O471,Skills[Action],Skills[Icon],"")</f>
        <v/>
      </c>
      <c r="R471" s="5" t="str">
        <f t="array" ref="R471">XLOOKUP(Q471,Skills[Action],Skills[Icon],"")</f>
        <v/>
      </c>
      <c r="T471" s="5" t="str">
        <f t="array" ref="T471">XLOOKUP(S471,Skills[Action],Skills[Icon],"")</f>
        <v/>
      </c>
      <c r="V471" s="5" t="str">
        <f t="array" ref="V471">XLOOKUP(U471,Skills[Action],Skills[Icon],"")</f>
        <v/>
      </c>
    </row>
    <row r="472">
      <c r="C472" s="7">
        <v>0.005439814814814815</v>
      </c>
      <c r="L472" s="5" t="str">
        <f t="array" ref="L472">XLOOKUP(K472,Skills[Action],Skills[Icon],"")</f>
        <v/>
      </c>
      <c r="N472" s="5" t="str">
        <f t="array" ref="N472">XLOOKUP(M472,Skills[Action],Skills[Icon],"")</f>
        <v/>
      </c>
      <c r="P472" s="5" t="str">
        <f t="array" ref="P472">XLOOKUP(O472,Skills[Action],Skills[Icon],"")</f>
        <v/>
      </c>
      <c r="R472" s="5" t="str">
        <f t="array" ref="R472">XLOOKUP(Q472,Skills[Action],Skills[Icon],"")</f>
        <v/>
      </c>
      <c r="T472" s="5" t="str">
        <f t="array" ref="T472">XLOOKUP(S472,Skills[Action],Skills[Icon],"")</f>
        <v/>
      </c>
      <c r="V472" s="5" t="str">
        <f t="array" ref="V472">XLOOKUP(U472,Skills[Action],Skills[Icon],"")</f>
        <v/>
      </c>
    </row>
    <row r="473">
      <c r="C473" s="7">
        <v>0.005451388888888889</v>
      </c>
      <c r="L473" s="5" t="str">
        <f t="array" ref="L473">XLOOKUP(K473,Skills[Action],Skills[Icon],"")</f>
        <v/>
      </c>
      <c r="N473" s="5" t="str">
        <f t="array" ref="N473">XLOOKUP(M473,Skills[Action],Skills[Icon],"")</f>
        <v/>
      </c>
      <c r="P473" s="5" t="str">
        <f t="array" ref="P473">XLOOKUP(O473,Skills[Action],Skills[Icon],"")</f>
        <v/>
      </c>
      <c r="R473" s="5" t="str">
        <f t="array" ref="R473">XLOOKUP(Q473,Skills[Action],Skills[Icon],"")</f>
        <v/>
      </c>
      <c r="T473" s="5" t="str">
        <f t="array" ref="T473">XLOOKUP(S473,Skills[Action],Skills[Icon],"")</f>
        <v/>
      </c>
      <c r="V473" s="5" t="str">
        <f t="array" ref="V473">XLOOKUP(U473,Skills[Action],Skills[Icon],"")</f>
        <v/>
      </c>
    </row>
    <row r="474">
      <c r="C474" s="7">
        <v>0.005462962962962963</v>
      </c>
      <c r="L474" s="5" t="str">
        <f t="array" ref="L474">XLOOKUP(K474,Skills[Action],Skills[Icon],"")</f>
        <v/>
      </c>
      <c r="N474" s="5" t="str">
        <f t="array" ref="N474">XLOOKUP(M474,Skills[Action],Skills[Icon],"")</f>
        <v/>
      </c>
      <c r="P474" s="5" t="str">
        <f t="array" ref="P474">XLOOKUP(O474,Skills[Action],Skills[Icon],"")</f>
        <v/>
      </c>
      <c r="R474" s="5" t="str">
        <f t="array" ref="R474">XLOOKUP(Q474,Skills[Action],Skills[Icon],"")</f>
        <v/>
      </c>
      <c r="T474" s="5" t="str">
        <f t="array" ref="T474">XLOOKUP(S474,Skills[Action],Skills[Icon],"")</f>
        <v/>
      </c>
      <c r="V474" s="5" t="str">
        <f t="array" ref="V474">XLOOKUP(U474,Skills[Action],Skills[Icon],"")</f>
        <v/>
      </c>
    </row>
    <row r="475">
      <c r="C475" s="7">
        <v>0.005474537037037037</v>
      </c>
      <c r="L475" s="5" t="str">
        <f t="array" ref="L475">XLOOKUP(K475,Skills[Action],Skills[Icon],"")</f>
        <v/>
      </c>
      <c r="N475" s="5" t="str">
        <f t="array" ref="N475">XLOOKUP(M475,Skills[Action],Skills[Icon],"")</f>
        <v/>
      </c>
      <c r="P475" s="5" t="str">
        <f t="array" ref="P475">XLOOKUP(O475,Skills[Action],Skills[Icon],"")</f>
        <v/>
      </c>
      <c r="R475" s="5" t="str">
        <f t="array" ref="R475">XLOOKUP(Q475,Skills[Action],Skills[Icon],"")</f>
        <v/>
      </c>
      <c r="T475" s="5" t="str">
        <f t="array" ref="T475">XLOOKUP(S475,Skills[Action],Skills[Icon],"")</f>
        <v/>
      </c>
      <c r="V475" s="5" t="str">
        <f t="array" ref="V475">XLOOKUP(U475,Skills[Action],Skills[Icon],"")</f>
        <v/>
      </c>
    </row>
    <row r="476">
      <c r="C476" s="7">
        <v>0.005486111111111111</v>
      </c>
      <c r="L476" s="5" t="str">
        <f t="array" ref="L476">XLOOKUP(K476,Skills[Action],Skills[Icon],"")</f>
        <v/>
      </c>
      <c r="N476" s="5" t="str">
        <f t="array" ref="N476">XLOOKUP(M476,Skills[Action],Skills[Icon],"")</f>
        <v/>
      </c>
      <c r="P476" s="5" t="str">
        <f t="array" ref="P476">XLOOKUP(O476,Skills[Action],Skills[Icon],"")</f>
        <v/>
      </c>
      <c r="R476" s="5" t="str">
        <f t="array" ref="R476">XLOOKUP(Q476,Skills[Action],Skills[Icon],"")</f>
        <v/>
      </c>
      <c r="T476" s="5" t="str">
        <f t="array" ref="T476">XLOOKUP(S476,Skills[Action],Skills[Icon],"")</f>
        <v/>
      </c>
      <c r="V476" s="5" t="str">
        <f t="array" ref="V476">XLOOKUP(U476,Skills[Action],Skills[Icon],"")</f>
        <v/>
      </c>
    </row>
    <row r="477">
      <c r="C477" s="7">
        <v>0.005497685185185185</v>
      </c>
      <c r="L477" s="5" t="str">
        <f t="array" ref="L477">XLOOKUP(K477,Skills[Action],Skills[Icon],"")</f>
        <v/>
      </c>
      <c r="N477" s="5" t="str">
        <f t="array" ref="N477">XLOOKUP(M477,Skills[Action],Skills[Icon],"")</f>
        <v/>
      </c>
      <c r="P477" s="5" t="str">
        <f t="array" ref="P477">XLOOKUP(O477,Skills[Action],Skills[Icon],"")</f>
        <v/>
      </c>
      <c r="R477" s="5" t="str">
        <f t="array" ref="R477">XLOOKUP(Q477,Skills[Action],Skills[Icon],"")</f>
        <v/>
      </c>
      <c r="T477" s="5" t="str">
        <f t="array" ref="T477">XLOOKUP(S477,Skills[Action],Skills[Icon],"")</f>
        <v/>
      </c>
      <c r="V477" s="5" t="str">
        <f t="array" ref="V477">XLOOKUP(U477,Skills[Action],Skills[Icon],"")</f>
        <v/>
      </c>
    </row>
    <row r="478">
      <c r="C478" s="7">
        <v>0.005509259259259259</v>
      </c>
      <c r="L478" s="5" t="str">
        <f t="array" ref="L478">XLOOKUP(K478,Skills[Action],Skills[Icon],"")</f>
        <v/>
      </c>
      <c r="N478" s="5" t="str">
        <f t="array" ref="N478">XLOOKUP(M478,Skills[Action],Skills[Icon],"")</f>
        <v/>
      </c>
      <c r="P478" s="5" t="str">
        <f t="array" ref="P478">XLOOKUP(O478,Skills[Action],Skills[Icon],"")</f>
        <v/>
      </c>
      <c r="R478" s="5" t="str">
        <f t="array" ref="R478">XLOOKUP(Q478,Skills[Action],Skills[Icon],"")</f>
        <v/>
      </c>
      <c r="T478" s="5" t="str">
        <f t="array" ref="T478">XLOOKUP(S478,Skills[Action],Skills[Icon],"")</f>
        <v/>
      </c>
      <c r="V478" s="5" t="str">
        <f t="array" ref="V478">XLOOKUP(U478,Skills[Action],Skills[Icon],"")</f>
        <v/>
      </c>
    </row>
    <row r="479">
      <c r="C479" s="7">
        <v>0.005520833333333333</v>
      </c>
      <c r="L479" s="5" t="str">
        <f t="array" ref="L479">XLOOKUP(K479,Skills[Action],Skills[Icon],"")</f>
        <v/>
      </c>
      <c r="N479" s="5" t="str">
        <f t="array" ref="N479">XLOOKUP(M479,Skills[Action],Skills[Icon],"")</f>
        <v/>
      </c>
      <c r="P479" s="5" t="str">
        <f t="array" ref="P479">XLOOKUP(O479,Skills[Action],Skills[Icon],"")</f>
        <v/>
      </c>
      <c r="R479" s="5" t="str">
        <f t="array" ref="R479">XLOOKUP(Q479,Skills[Action],Skills[Icon],"")</f>
        <v/>
      </c>
      <c r="T479" s="5" t="str">
        <f t="array" ref="T479">XLOOKUP(S479,Skills[Action],Skills[Icon],"")</f>
        <v/>
      </c>
      <c r="V479" s="5" t="str">
        <f t="array" ref="V479">XLOOKUP(U479,Skills[Action],Skills[Icon],"")</f>
        <v/>
      </c>
    </row>
    <row r="480">
      <c r="C480" s="7">
        <v>0.005532407407407408</v>
      </c>
      <c r="L480" s="5" t="str">
        <f t="array" ref="L480">XLOOKUP(K480,Skills[Action],Skills[Icon],"")</f>
        <v/>
      </c>
      <c r="N480" s="5" t="str">
        <f t="array" ref="N480">XLOOKUP(M480,Skills[Action],Skills[Icon],"")</f>
        <v/>
      </c>
      <c r="P480" s="5" t="str">
        <f t="array" ref="P480">XLOOKUP(O480,Skills[Action],Skills[Icon],"")</f>
        <v/>
      </c>
      <c r="R480" s="5" t="str">
        <f t="array" ref="R480">XLOOKUP(Q480,Skills[Action],Skills[Icon],"")</f>
        <v/>
      </c>
      <c r="T480" s="5" t="str">
        <f t="array" ref="T480">XLOOKUP(S480,Skills[Action],Skills[Icon],"")</f>
        <v/>
      </c>
      <c r="V480" s="5" t="str">
        <f t="array" ref="V480">XLOOKUP(U480,Skills[Action],Skills[Icon],"")</f>
        <v/>
      </c>
    </row>
    <row r="481">
      <c r="C481" s="7">
        <v>0.005543981481481481</v>
      </c>
      <c r="L481" s="5" t="str">
        <f t="array" ref="L481">XLOOKUP(K481,Skills[Action],Skills[Icon],"")</f>
        <v/>
      </c>
      <c r="N481" s="5" t="str">
        <f t="array" ref="N481">XLOOKUP(M481,Skills[Action],Skills[Icon],"")</f>
        <v/>
      </c>
      <c r="P481" s="5" t="str">
        <f t="array" ref="P481">XLOOKUP(O481,Skills[Action],Skills[Icon],"")</f>
        <v/>
      </c>
      <c r="R481" s="5" t="str">
        <f t="array" ref="R481">XLOOKUP(Q481,Skills[Action],Skills[Icon],"")</f>
        <v/>
      </c>
      <c r="T481" s="5" t="str">
        <f t="array" ref="T481">XLOOKUP(S481,Skills[Action],Skills[Icon],"")</f>
        <v/>
      </c>
      <c r="V481" s="5" t="str">
        <f t="array" ref="V481">XLOOKUP(U481,Skills[Action],Skills[Icon],"")</f>
        <v/>
      </c>
    </row>
    <row r="482">
      <c r="C482" s="7">
        <v>0.005555555555555556</v>
      </c>
      <c r="L482" s="5" t="str">
        <f t="array" ref="L482">XLOOKUP(K482,Skills[Action],Skills[Icon],"")</f>
        <v/>
      </c>
      <c r="N482" s="5" t="str">
        <f t="array" ref="N482">XLOOKUP(M482,Skills[Action],Skills[Icon],"")</f>
        <v/>
      </c>
      <c r="P482" s="5" t="str">
        <f t="array" ref="P482">XLOOKUP(O482,Skills[Action],Skills[Icon],"")</f>
        <v/>
      </c>
      <c r="R482" s="5" t="str">
        <f t="array" ref="R482">XLOOKUP(Q482,Skills[Action],Skills[Icon],"")</f>
        <v/>
      </c>
      <c r="T482" s="5" t="str">
        <f t="array" ref="T482">XLOOKUP(S482,Skills[Action],Skills[Icon],"")</f>
        <v/>
      </c>
      <c r="V482" s="5" t="str">
        <f t="array" ref="V482">XLOOKUP(U482,Skills[Action],Skills[Icon],"")</f>
        <v/>
      </c>
    </row>
    <row r="483">
      <c r="C483" s="7">
        <v>0.005567129629629629</v>
      </c>
      <c r="L483" s="5" t="str">
        <f t="array" ref="L483">XLOOKUP(K483,Skills[Action],Skills[Icon],"")</f>
        <v/>
      </c>
      <c r="N483" s="5" t="str">
        <f t="array" ref="N483">XLOOKUP(M483,Skills[Action],Skills[Icon],"")</f>
        <v/>
      </c>
      <c r="P483" s="5" t="str">
        <f t="array" ref="P483">XLOOKUP(O483,Skills[Action],Skills[Icon],"")</f>
        <v/>
      </c>
      <c r="R483" s="5" t="str">
        <f t="array" ref="R483">XLOOKUP(Q483,Skills[Action],Skills[Icon],"")</f>
        <v/>
      </c>
      <c r="T483" s="5" t="str">
        <f t="array" ref="T483">XLOOKUP(S483,Skills[Action],Skills[Icon],"")</f>
        <v/>
      </c>
      <c r="V483" s="5" t="str">
        <f t="array" ref="V483">XLOOKUP(U483,Skills[Action],Skills[Icon],"")</f>
        <v/>
      </c>
    </row>
    <row r="484">
      <c r="C484" s="7">
        <v>0.005578703703703704</v>
      </c>
      <c r="L484" s="5" t="str">
        <f t="array" ref="L484">XLOOKUP(K484,Skills[Action],Skills[Icon],"")</f>
        <v/>
      </c>
      <c r="N484" s="5" t="str">
        <f t="array" ref="N484">XLOOKUP(M484,Skills[Action],Skills[Icon],"")</f>
        <v/>
      </c>
      <c r="P484" s="5" t="str">
        <f t="array" ref="P484">XLOOKUP(O484,Skills[Action],Skills[Icon],"")</f>
        <v/>
      </c>
      <c r="R484" s="5" t="str">
        <f t="array" ref="R484">XLOOKUP(Q484,Skills[Action],Skills[Icon],"")</f>
        <v/>
      </c>
      <c r="T484" s="5" t="str">
        <f t="array" ref="T484">XLOOKUP(S484,Skills[Action],Skills[Icon],"")</f>
        <v/>
      </c>
      <c r="V484" s="5" t="str">
        <f t="array" ref="V484">XLOOKUP(U484,Skills[Action],Skills[Icon],"")</f>
        <v/>
      </c>
    </row>
    <row r="485">
      <c r="C485" s="7">
        <v>0.005590277777777777</v>
      </c>
      <c r="L485" s="5" t="str">
        <f t="array" ref="L485">XLOOKUP(K485,Skills[Action],Skills[Icon],"")</f>
        <v/>
      </c>
      <c r="N485" s="5" t="str">
        <f t="array" ref="N485">XLOOKUP(M485,Skills[Action],Skills[Icon],"")</f>
        <v/>
      </c>
      <c r="P485" s="5" t="str">
        <f t="array" ref="P485">XLOOKUP(O485,Skills[Action],Skills[Icon],"")</f>
        <v/>
      </c>
      <c r="R485" s="5" t="str">
        <f t="array" ref="R485">XLOOKUP(Q485,Skills[Action],Skills[Icon],"")</f>
        <v/>
      </c>
      <c r="T485" s="5" t="str">
        <f t="array" ref="T485">XLOOKUP(S485,Skills[Action],Skills[Icon],"")</f>
        <v/>
      </c>
      <c r="V485" s="5" t="str">
        <f t="array" ref="V485">XLOOKUP(U485,Skills[Action],Skills[Icon],"")</f>
        <v/>
      </c>
    </row>
    <row r="486">
      <c r="C486" s="7">
        <v>0.005601851851851852</v>
      </c>
      <c r="L486" s="5" t="str">
        <f t="array" ref="L486">XLOOKUP(K486,Skills[Action],Skills[Icon],"")</f>
        <v/>
      </c>
      <c r="N486" s="5" t="str">
        <f t="array" ref="N486">XLOOKUP(M486,Skills[Action],Skills[Icon],"")</f>
        <v/>
      </c>
      <c r="P486" s="5" t="str">
        <f t="array" ref="P486">XLOOKUP(O486,Skills[Action],Skills[Icon],"")</f>
        <v/>
      </c>
      <c r="R486" s="5" t="str">
        <f t="array" ref="R486">XLOOKUP(Q486,Skills[Action],Skills[Icon],"")</f>
        <v/>
      </c>
      <c r="T486" s="5" t="str">
        <f t="array" ref="T486">XLOOKUP(S486,Skills[Action],Skills[Icon],"")</f>
        <v/>
      </c>
      <c r="V486" s="5" t="str">
        <f t="array" ref="V486">XLOOKUP(U486,Skills[Action],Skills[Icon],"")</f>
        <v/>
      </c>
    </row>
    <row r="487">
      <c r="C487" s="7">
        <v>0.005613425925925926</v>
      </c>
      <c r="L487" s="5" t="str">
        <f t="array" ref="L487">XLOOKUP(K487,Skills[Action],Skills[Icon],"")</f>
        <v/>
      </c>
      <c r="N487" s="5" t="str">
        <f t="array" ref="N487">XLOOKUP(M487,Skills[Action],Skills[Icon],"")</f>
        <v/>
      </c>
      <c r="P487" s="5" t="str">
        <f t="array" ref="P487">XLOOKUP(O487,Skills[Action],Skills[Icon],"")</f>
        <v/>
      </c>
      <c r="R487" s="5" t="str">
        <f t="array" ref="R487">XLOOKUP(Q487,Skills[Action],Skills[Icon],"")</f>
        <v/>
      </c>
      <c r="T487" s="5" t="str">
        <f t="array" ref="T487">XLOOKUP(S487,Skills[Action],Skills[Icon],"")</f>
        <v/>
      </c>
      <c r="V487" s="5" t="str">
        <f t="array" ref="V487">XLOOKUP(U487,Skills[Action],Skills[Icon],"")</f>
        <v/>
      </c>
    </row>
    <row r="488">
      <c r="C488" s="7">
        <v>0.005625</v>
      </c>
      <c r="L488" s="5" t="str">
        <f t="array" ref="L488">XLOOKUP(K488,Skills[Action],Skills[Icon],"")</f>
        <v/>
      </c>
      <c r="N488" s="5" t="str">
        <f t="array" ref="N488">XLOOKUP(M488,Skills[Action],Skills[Icon],"")</f>
        <v/>
      </c>
      <c r="P488" s="5" t="str">
        <f t="array" ref="P488">XLOOKUP(O488,Skills[Action],Skills[Icon],"")</f>
        <v/>
      </c>
      <c r="R488" s="5" t="str">
        <f t="array" ref="R488">XLOOKUP(Q488,Skills[Action],Skills[Icon],"")</f>
        <v/>
      </c>
      <c r="T488" s="5" t="str">
        <f t="array" ref="T488">XLOOKUP(S488,Skills[Action],Skills[Icon],"")</f>
        <v/>
      </c>
      <c r="V488" s="5" t="str">
        <f t="array" ref="V488">XLOOKUP(U488,Skills[Action],Skills[Icon],"")</f>
        <v/>
      </c>
    </row>
    <row r="489">
      <c r="C489" s="7">
        <v>0.005636574074074074</v>
      </c>
      <c r="L489" s="5" t="str">
        <f t="array" ref="L489">XLOOKUP(K489,Skills[Action],Skills[Icon],"")</f>
        <v/>
      </c>
      <c r="N489" s="5" t="str">
        <f t="array" ref="N489">XLOOKUP(M489,Skills[Action],Skills[Icon],"")</f>
        <v/>
      </c>
      <c r="P489" s="5" t="str">
        <f t="array" ref="P489">XLOOKUP(O489,Skills[Action],Skills[Icon],"")</f>
        <v/>
      </c>
      <c r="R489" s="5" t="str">
        <f t="array" ref="R489">XLOOKUP(Q489,Skills[Action],Skills[Icon],"")</f>
        <v/>
      </c>
      <c r="T489" s="5" t="str">
        <f t="array" ref="T489">XLOOKUP(S489,Skills[Action],Skills[Icon],"")</f>
        <v/>
      </c>
      <c r="V489" s="5" t="str">
        <f t="array" ref="V489">XLOOKUP(U489,Skills[Action],Skills[Icon],"")</f>
        <v/>
      </c>
    </row>
    <row r="490">
      <c r="C490" s="7">
        <v>0.005648148148148148</v>
      </c>
      <c r="L490" s="5" t="str">
        <f t="array" ref="L490">XLOOKUP(K490,Skills[Action],Skills[Icon],"")</f>
        <v/>
      </c>
      <c r="N490" s="5" t="str">
        <f t="array" ref="N490">XLOOKUP(M490,Skills[Action],Skills[Icon],"")</f>
        <v/>
      </c>
      <c r="P490" s="5" t="str">
        <f t="array" ref="P490">XLOOKUP(O490,Skills[Action],Skills[Icon],"")</f>
        <v/>
      </c>
      <c r="R490" s="5" t="str">
        <f t="array" ref="R490">XLOOKUP(Q490,Skills[Action],Skills[Icon],"")</f>
        <v/>
      </c>
      <c r="T490" s="5" t="str">
        <f t="array" ref="T490">XLOOKUP(S490,Skills[Action],Skills[Icon],"")</f>
        <v/>
      </c>
      <c r="V490" s="5" t="str">
        <f t="array" ref="V490">XLOOKUP(U490,Skills[Action],Skills[Icon],"")</f>
        <v/>
      </c>
    </row>
    <row r="491">
      <c r="C491" s="7">
        <v>0.005659722222222222</v>
      </c>
      <c r="L491" s="5" t="str">
        <f t="array" ref="L491">XLOOKUP(K491,Skills[Action],Skills[Icon],"")</f>
        <v/>
      </c>
      <c r="N491" s="5" t="str">
        <f t="array" ref="N491">XLOOKUP(M491,Skills[Action],Skills[Icon],"")</f>
        <v/>
      </c>
      <c r="P491" s="5" t="str">
        <f t="array" ref="P491">XLOOKUP(O491,Skills[Action],Skills[Icon],"")</f>
        <v/>
      </c>
      <c r="R491" s="5" t="str">
        <f t="array" ref="R491">XLOOKUP(Q491,Skills[Action],Skills[Icon],"")</f>
        <v/>
      </c>
      <c r="T491" s="5" t="str">
        <f t="array" ref="T491">XLOOKUP(S491,Skills[Action],Skills[Icon],"")</f>
        <v/>
      </c>
      <c r="V491" s="5" t="str">
        <f t="array" ref="V491">XLOOKUP(U491,Skills[Action],Skills[Icon],"")</f>
        <v/>
      </c>
    </row>
    <row r="492">
      <c r="C492" s="7">
        <v>0.005671296296296297</v>
      </c>
      <c r="L492" s="5" t="str">
        <f t="array" ref="L492">XLOOKUP(K492,Skills[Action],Skills[Icon],"")</f>
        <v/>
      </c>
      <c r="N492" s="5" t="str">
        <f t="array" ref="N492">XLOOKUP(M492,Skills[Action],Skills[Icon],"")</f>
        <v/>
      </c>
      <c r="P492" s="5" t="str">
        <f t="array" ref="P492">XLOOKUP(O492,Skills[Action],Skills[Icon],"")</f>
        <v/>
      </c>
      <c r="R492" s="5" t="str">
        <f t="array" ref="R492">XLOOKUP(Q492,Skills[Action],Skills[Icon],"")</f>
        <v/>
      </c>
      <c r="T492" s="5" t="str">
        <f t="array" ref="T492">XLOOKUP(S492,Skills[Action],Skills[Icon],"")</f>
        <v/>
      </c>
      <c r="V492" s="5" t="str">
        <f t="array" ref="V492">XLOOKUP(U492,Skills[Action],Skills[Icon],"")</f>
        <v/>
      </c>
    </row>
    <row r="493">
      <c r="C493" s="7">
        <v>0.00568287037037037</v>
      </c>
      <c r="L493" s="5" t="str">
        <f t="array" ref="L493">XLOOKUP(K493,Skills[Action],Skills[Icon],"")</f>
        <v/>
      </c>
      <c r="N493" s="5" t="str">
        <f t="array" ref="N493">XLOOKUP(M493,Skills[Action],Skills[Icon],"")</f>
        <v/>
      </c>
      <c r="P493" s="5" t="str">
        <f t="array" ref="P493">XLOOKUP(O493,Skills[Action],Skills[Icon],"")</f>
        <v/>
      </c>
      <c r="R493" s="5" t="str">
        <f t="array" ref="R493">XLOOKUP(Q493,Skills[Action],Skills[Icon],"")</f>
        <v/>
      </c>
      <c r="T493" s="5" t="str">
        <f t="array" ref="T493">XLOOKUP(S493,Skills[Action],Skills[Icon],"")</f>
        <v/>
      </c>
      <c r="V493" s="5" t="str">
        <f t="array" ref="V493">XLOOKUP(U493,Skills[Action],Skills[Icon],"")</f>
        <v/>
      </c>
    </row>
    <row r="494">
      <c r="C494" s="7">
        <v>0.005694444444444445</v>
      </c>
      <c r="L494" s="5" t="str">
        <f t="array" ref="L494">XLOOKUP(K494,Skills[Action],Skills[Icon],"")</f>
        <v/>
      </c>
      <c r="N494" s="5" t="str">
        <f t="array" ref="N494">XLOOKUP(M494,Skills[Action],Skills[Icon],"")</f>
        <v/>
      </c>
      <c r="P494" s="5" t="str">
        <f t="array" ref="P494">XLOOKUP(O494,Skills[Action],Skills[Icon],"")</f>
        <v/>
      </c>
      <c r="R494" s="5" t="str">
        <f t="array" ref="R494">XLOOKUP(Q494,Skills[Action],Skills[Icon],"")</f>
        <v/>
      </c>
      <c r="T494" s="5" t="str">
        <f t="array" ref="T494">XLOOKUP(S494,Skills[Action],Skills[Icon],"")</f>
        <v/>
      </c>
      <c r="V494" s="5" t="str">
        <f t="array" ref="V494">XLOOKUP(U494,Skills[Action],Skills[Icon],"")</f>
        <v/>
      </c>
    </row>
    <row r="495">
      <c r="C495" s="7">
        <v>0.005706018518518518</v>
      </c>
      <c r="L495" s="5" t="str">
        <f t="array" ref="L495">XLOOKUP(K495,Skills[Action],Skills[Icon],"")</f>
        <v/>
      </c>
      <c r="N495" s="5" t="str">
        <f t="array" ref="N495">XLOOKUP(M495,Skills[Action],Skills[Icon],"")</f>
        <v/>
      </c>
      <c r="P495" s="5" t="str">
        <f t="array" ref="P495">XLOOKUP(O495,Skills[Action],Skills[Icon],"")</f>
        <v/>
      </c>
      <c r="R495" s="5" t="str">
        <f t="array" ref="R495">XLOOKUP(Q495,Skills[Action],Skills[Icon],"")</f>
        <v/>
      </c>
      <c r="T495" s="5" t="str">
        <f t="array" ref="T495">XLOOKUP(S495,Skills[Action],Skills[Icon],"")</f>
        <v/>
      </c>
      <c r="V495" s="5" t="str">
        <f t="array" ref="V495">XLOOKUP(U495,Skills[Action],Skills[Icon],"")</f>
        <v/>
      </c>
    </row>
    <row r="496">
      <c r="C496" s="7">
        <v>0.005717592592592593</v>
      </c>
      <c r="L496" s="5" t="str">
        <f t="array" ref="L496">XLOOKUP(K496,Skills[Action],Skills[Icon],"")</f>
        <v/>
      </c>
      <c r="N496" s="5" t="str">
        <f t="array" ref="N496">XLOOKUP(M496,Skills[Action],Skills[Icon],"")</f>
        <v/>
      </c>
      <c r="P496" s="5" t="str">
        <f t="array" ref="P496">XLOOKUP(O496,Skills[Action],Skills[Icon],"")</f>
        <v/>
      </c>
      <c r="R496" s="5" t="str">
        <f t="array" ref="R496">XLOOKUP(Q496,Skills[Action],Skills[Icon],"")</f>
        <v/>
      </c>
      <c r="T496" s="5" t="str">
        <f t="array" ref="T496">XLOOKUP(S496,Skills[Action],Skills[Icon],"")</f>
        <v/>
      </c>
      <c r="V496" s="5" t="str">
        <f t="array" ref="V496">XLOOKUP(U496,Skills[Action],Skills[Icon],"")</f>
        <v/>
      </c>
    </row>
    <row r="497">
      <c r="C497" s="7">
        <v>0.005729166666666666</v>
      </c>
      <c r="L497" s="5" t="str">
        <f t="array" ref="L497">XLOOKUP(K497,Skills[Action],Skills[Icon],"")</f>
        <v/>
      </c>
      <c r="N497" s="5" t="str">
        <f t="array" ref="N497">XLOOKUP(M497,Skills[Action],Skills[Icon],"")</f>
        <v/>
      </c>
      <c r="P497" s="5" t="str">
        <f t="array" ref="P497">XLOOKUP(O497,Skills[Action],Skills[Icon],"")</f>
        <v/>
      </c>
      <c r="R497" s="5" t="str">
        <f t="array" ref="R497">XLOOKUP(Q497,Skills[Action],Skills[Icon],"")</f>
        <v/>
      </c>
      <c r="T497" s="5" t="str">
        <f t="array" ref="T497">XLOOKUP(S497,Skills[Action],Skills[Icon],"")</f>
        <v/>
      </c>
      <c r="V497" s="5" t="str">
        <f t="array" ref="V497">XLOOKUP(U497,Skills[Action],Skills[Icon],"")</f>
        <v/>
      </c>
    </row>
    <row r="498">
      <c r="C498" s="7">
        <v>0.005740740740740741</v>
      </c>
      <c r="L498" s="5" t="str">
        <f t="array" ref="L498">XLOOKUP(K498,Skills[Action],Skills[Icon],"")</f>
        <v/>
      </c>
      <c r="N498" s="5" t="str">
        <f t="array" ref="N498">XLOOKUP(M498,Skills[Action],Skills[Icon],"")</f>
        <v/>
      </c>
      <c r="P498" s="5" t="str">
        <f t="array" ref="P498">XLOOKUP(O498,Skills[Action],Skills[Icon],"")</f>
        <v/>
      </c>
      <c r="R498" s="5" t="str">
        <f t="array" ref="R498">XLOOKUP(Q498,Skills[Action],Skills[Icon],"")</f>
        <v/>
      </c>
      <c r="T498" s="5" t="str">
        <f t="array" ref="T498">XLOOKUP(S498,Skills[Action],Skills[Icon],"")</f>
        <v/>
      </c>
      <c r="V498" s="5" t="str">
        <f t="array" ref="V498">XLOOKUP(U498,Skills[Action],Skills[Icon],"")</f>
        <v/>
      </c>
    </row>
    <row r="499">
      <c r="C499" s="7">
        <v>0.005752314814814815</v>
      </c>
      <c r="L499" s="5" t="str">
        <f t="array" ref="L499">XLOOKUP(K499,Skills[Action],Skills[Icon],"")</f>
        <v/>
      </c>
      <c r="N499" s="5" t="str">
        <f t="array" ref="N499">XLOOKUP(M499,Skills[Action],Skills[Icon],"")</f>
        <v/>
      </c>
      <c r="P499" s="5" t="str">
        <f t="array" ref="P499">XLOOKUP(O499,Skills[Action],Skills[Icon],"")</f>
        <v/>
      </c>
      <c r="R499" s="5" t="str">
        <f t="array" ref="R499">XLOOKUP(Q499,Skills[Action],Skills[Icon],"")</f>
        <v/>
      </c>
      <c r="T499" s="5" t="str">
        <f t="array" ref="T499">XLOOKUP(S499,Skills[Action],Skills[Icon],"")</f>
        <v/>
      </c>
      <c r="V499" s="5" t="str">
        <f t="array" ref="V499">XLOOKUP(U499,Skills[Action],Skills[Icon],"")</f>
        <v/>
      </c>
    </row>
    <row r="500">
      <c r="C500" s="7">
        <v>0.005763888888888889</v>
      </c>
      <c r="L500" s="5" t="str">
        <f t="array" ref="L500">XLOOKUP(K500,Skills[Action],Skills[Icon],"")</f>
        <v/>
      </c>
      <c r="N500" s="5" t="str">
        <f t="array" ref="N500">XLOOKUP(M500,Skills[Action],Skills[Icon],"")</f>
        <v/>
      </c>
      <c r="P500" s="5" t="str">
        <f t="array" ref="P500">XLOOKUP(O500,Skills[Action],Skills[Icon],"")</f>
        <v/>
      </c>
      <c r="R500" s="5" t="str">
        <f t="array" ref="R500">XLOOKUP(Q500,Skills[Action],Skills[Icon],"")</f>
        <v/>
      </c>
      <c r="T500" s="5" t="str">
        <f t="array" ref="T500">XLOOKUP(S500,Skills[Action],Skills[Icon],"")</f>
        <v/>
      </c>
      <c r="V500" s="5" t="str">
        <f t="array" ref="V500">XLOOKUP(U500,Skills[Action],Skills[Icon],"")</f>
        <v/>
      </c>
    </row>
    <row r="501">
      <c r="C501" s="7">
        <v>0.005775462962962963</v>
      </c>
      <c r="L501" s="5" t="str">
        <f t="array" ref="L501">XLOOKUP(K501,Skills[Action],Skills[Icon],"")</f>
        <v/>
      </c>
      <c r="N501" s="5" t="str">
        <f t="array" ref="N501">XLOOKUP(M501,Skills[Action],Skills[Icon],"")</f>
        <v/>
      </c>
      <c r="P501" s="5" t="str">
        <f t="array" ref="P501">XLOOKUP(O501,Skills[Action],Skills[Icon],"")</f>
        <v/>
      </c>
      <c r="R501" s="5" t="str">
        <f t="array" ref="R501">XLOOKUP(Q501,Skills[Action],Skills[Icon],"")</f>
        <v/>
      </c>
      <c r="T501" s="5" t="str">
        <f t="array" ref="T501">XLOOKUP(S501,Skills[Action],Skills[Icon],"")</f>
        <v/>
      </c>
      <c r="V501" s="5" t="str">
        <f t="array" ref="V501">XLOOKUP(U501,Skills[Action],Skills[Icon],"")</f>
        <v/>
      </c>
    </row>
    <row r="502">
      <c r="C502" s="7">
        <v>0.005787037037037037</v>
      </c>
      <c r="L502" s="5" t="str">
        <f t="array" ref="L502">XLOOKUP(K502,Skills[Action],Skills[Icon],"")</f>
        <v/>
      </c>
      <c r="N502" s="5" t="str">
        <f t="array" ref="N502">XLOOKUP(M502,Skills[Action],Skills[Icon],"")</f>
        <v/>
      </c>
      <c r="P502" s="5" t="str">
        <f t="array" ref="P502">XLOOKUP(O502,Skills[Action],Skills[Icon],"")</f>
        <v/>
      </c>
      <c r="R502" s="5" t="str">
        <f t="array" ref="R502">XLOOKUP(Q502,Skills[Action],Skills[Icon],"")</f>
        <v/>
      </c>
      <c r="T502" s="5" t="str">
        <f t="array" ref="T502">XLOOKUP(S502,Skills[Action],Skills[Icon],"")</f>
        <v/>
      </c>
      <c r="V502" s="5" t="str">
        <f t="array" ref="V502">XLOOKUP(U502,Skills[Action],Skills[Icon],"")</f>
        <v/>
      </c>
    </row>
    <row r="503">
      <c r="C503" s="7">
        <v>0.005798611111111111</v>
      </c>
      <c r="L503" s="5" t="str">
        <f t="array" ref="L503">XLOOKUP(K503,Skills[Action],Skills[Icon],"")</f>
        <v/>
      </c>
      <c r="N503" s="5" t="str">
        <f t="array" ref="N503">XLOOKUP(M503,Skills[Action],Skills[Icon],"")</f>
        <v/>
      </c>
      <c r="P503" s="5" t="str">
        <f t="array" ref="P503">XLOOKUP(O503,Skills[Action],Skills[Icon],"")</f>
        <v/>
      </c>
      <c r="R503" s="5" t="str">
        <f t="array" ref="R503">XLOOKUP(Q503,Skills[Action],Skills[Icon],"")</f>
        <v/>
      </c>
      <c r="T503" s="5" t="str">
        <f t="array" ref="T503">XLOOKUP(S503,Skills[Action],Skills[Icon],"")</f>
        <v/>
      </c>
      <c r="V503" s="5" t="str">
        <f t="array" ref="V503">XLOOKUP(U503,Skills[Action],Skills[Icon],"")</f>
        <v/>
      </c>
    </row>
    <row r="504">
      <c r="C504" s="7">
        <v>0.005810185185185186</v>
      </c>
      <c r="L504" s="5" t="str">
        <f t="array" ref="L504">XLOOKUP(K504,Skills[Action],Skills[Icon],"")</f>
        <v/>
      </c>
      <c r="N504" s="5" t="str">
        <f t="array" ref="N504">XLOOKUP(M504,Skills[Action],Skills[Icon],"")</f>
        <v/>
      </c>
      <c r="P504" s="5" t="str">
        <f t="array" ref="P504">XLOOKUP(O504,Skills[Action],Skills[Icon],"")</f>
        <v/>
      </c>
      <c r="R504" s="5" t="str">
        <f t="array" ref="R504">XLOOKUP(Q504,Skills[Action],Skills[Icon],"")</f>
        <v/>
      </c>
      <c r="T504" s="5" t="str">
        <f t="array" ref="T504">XLOOKUP(S504,Skills[Action],Skills[Icon],"")</f>
        <v/>
      </c>
      <c r="V504" s="5" t="str">
        <f t="array" ref="V504">XLOOKUP(U504,Skills[Action],Skills[Icon],"")</f>
        <v/>
      </c>
    </row>
    <row r="505">
      <c r="C505" s="7">
        <v>0.005821759259259259</v>
      </c>
      <c r="L505" s="5" t="str">
        <f t="array" ref="L505">XLOOKUP(K505,Skills[Action],Skills[Icon],"")</f>
        <v/>
      </c>
      <c r="N505" s="5" t="str">
        <f t="array" ref="N505">XLOOKUP(M505,Skills[Action],Skills[Icon],"")</f>
        <v/>
      </c>
      <c r="P505" s="5" t="str">
        <f t="array" ref="P505">XLOOKUP(O505,Skills[Action],Skills[Icon],"")</f>
        <v/>
      </c>
      <c r="R505" s="5" t="str">
        <f t="array" ref="R505">XLOOKUP(Q505,Skills[Action],Skills[Icon],"")</f>
        <v/>
      </c>
      <c r="T505" s="5" t="str">
        <f t="array" ref="T505">XLOOKUP(S505,Skills[Action],Skills[Icon],"")</f>
        <v/>
      </c>
      <c r="V505" s="5" t="str">
        <f t="array" ref="V505">XLOOKUP(U505,Skills[Action],Skills[Icon],"")</f>
        <v/>
      </c>
    </row>
    <row r="506">
      <c r="C506" s="7">
        <v>0.005833333333333334</v>
      </c>
      <c r="L506" s="5" t="str">
        <f t="array" ref="L506">XLOOKUP(K506,Skills[Action],Skills[Icon],"")</f>
        <v/>
      </c>
      <c r="N506" s="5" t="str">
        <f t="array" ref="N506">XLOOKUP(M506,Skills[Action],Skills[Icon],"")</f>
        <v/>
      </c>
      <c r="P506" s="5" t="str">
        <f t="array" ref="P506">XLOOKUP(O506,Skills[Action],Skills[Icon],"")</f>
        <v/>
      </c>
      <c r="R506" s="5" t="str">
        <f t="array" ref="R506">XLOOKUP(Q506,Skills[Action],Skills[Icon],"")</f>
        <v/>
      </c>
      <c r="T506" s="5" t="str">
        <f t="array" ref="T506">XLOOKUP(S506,Skills[Action],Skills[Icon],"")</f>
        <v/>
      </c>
      <c r="V506" s="5" t="str">
        <f t="array" ref="V506">XLOOKUP(U506,Skills[Action],Skills[Icon],"")</f>
        <v/>
      </c>
    </row>
    <row r="507">
      <c r="C507" s="7">
        <v>0.005844907407407407</v>
      </c>
      <c r="L507" s="5" t="str">
        <f t="array" ref="L507">XLOOKUP(K507,Skills[Action],Skills[Icon],"")</f>
        <v/>
      </c>
      <c r="N507" s="5" t="str">
        <f t="array" ref="N507">XLOOKUP(M507,Skills[Action],Skills[Icon],"")</f>
        <v/>
      </c>
      <c r="P507" s="5" t="str">
        <f t="array" ref="P507">XLOOKUP(O507,Skills[Action],Skills[Icon],"")</f>
        <v/>
      </c>
      <c r="R507" s="5" t="str">
        <f t="array" ref="R507">XLOOKUP(Q507,Skills[Action],Skills[Icon],"")</f>
        <v/>
      </c>
      <c r="T507" s="5" t="str">
        <f t="array" ref="T507">XLOOKUP(S507,Skills[Action],Skills[Icon],"")</f>
        <v/>
      </c>
      <c r="V507" s="5" t="str">
        <f t="array" ref="V507">XLOOKUP(U507,Skills[Action],Skills[Icon],"")</f>
        <v/>
      </c>
    </row>
    <row r="508">
      <c r="C508" s="7">
        <v>0.005856481481481482</v>
      </c>
      <c r="L508" s="5" t="str">
        <f t="array" ref="L508">XLOOKUP(K508,Skills[Action],Skills[Icon],"")</f>
        <v/>
      </c>
      <c r="N508" s="5" t="str">
        <f t="array" ref="N508">XLOOKUP(M508,Skills[Action],Skills[Icon],"")</f>
        <v/>
      </c>
      <c r="P508" s="5" t="str">
        <f t="array" ref="P508">XLOOKUP(O508,Skills[Action],Skills[Icon],"")</f>
        <v/>
      </c>
      <c r="R508" s="5" t="str">
        <f t="array" ref="R508">XLOOKUP(Q508,Skills[Action],Skills[Icon],"")</f>
        <v/>
      </c>
      <c r="T508" s="5" t="str">
        <f t="array" ref="T508">XLOOKUP(S508,Skills[Action],Skills[Icon],"")</f>
        <v/>
      </c>
      <c r="V508" s="5" t="str">
        <f t="array" ref="V508">XLOOKUP(U508,Skills[Action],Skills[Icon],"")</f>
        <v/>
      </c>
    </row>
    <row r="509">
      <c r="C509" s="7">
        <v>0.005868055555555555</v>
      </c>
      <c r="L509" s="5" t="str">
        <f t="array" ref="L509">XLOOKUP(K509,Skills[Action],Skills[Icon],"")</f>
        <v/>
      </c>
      <c r="N509" s="5" t="str">
        <f t="array" ref="N509">XLOOKUP(M509,Skills[Action],Skills[Icon],"")</f>
        <v/>
      </c>
      <c r="P509" s="5" t="str">
        <f t="array" ref="P509">XLOOKUP(O509,Skills[Action],Skills[Icon],"")</f>
        <v/>
      </c>
      <c r="R509" s="5" t="str">
        <f t="array" ref="R509">XLOOKUP(Q509,Skills[Action],Skills[Icon],"")</f>
        <v/>
      </c>
      <c r="T509" s="5" t="str">
        <f t="array" ref="T509">XLOOKUP(S509,Skills[Action],Skills[Icon],"")</f>
        <v/>
      </c>
      <c r="V509" s="5" t="str">
        <f t="array" ref="V509">XLOOKUP(U509,Skills[Action],Skills[Icon],"")</f>
        <v/>
      </c>
    </row>
    <row r="510">
      <c r="C510" s="7">
        <v>0.00587962962962963</v>
      </c>
      <c r="L510" s="5" t="str">
        <f t="array" ref="L510">XLOOKUP(K510,Skills[Action],Skills[Icon],"")</f>
        <v/>
      </c>
      <c r="N510" s="5" t="str">
        <f t="array" ref="N510">XLOOKUP(M510,Skills[Action],Skills[Icon],"")</f>
        <v/>
      </c>
      <c r="P510" s="5" t="str">
        <f t="array" ref="P510">XLOOKUP(O510,Skills[Action],Skills[Icon],"")</f>
        <v/>
      </c>
      <c r="R510" s="5" t="str">
        <f t="array" ref="R510">XLOOKUP(Q510,Skills[Action],Skills[Icon],"")</f>
        <v/>
      </c>
      <c r="T510" s="5" t="str">
        <f t="array" ref="T510">XLOOKUP(S510,Skills[Action],Skills[Icon],"")</f>
        <v/>
      </c>
      <c r="V510" s="5" t="str">
        <f t="array" ref="V510">XLOOKUP(U510,Skills[Action],Skills[Icon],"")</f>
        <v/>
      </c>
    </row>
    <row r="511">
      <c r="C511" s="7">
        <v>0.005891203703703704</v>
      </c>
      <c r="L511" s="5" t="str">
        <f t="array" ref="L511">XLOOKUP(K511,Skills[Action],Skills[Icon],"")</f>
        <v/>
      </c>
      <c r="N511" s="5" t="str">
        <f t="array" ref="N511">XLOOKUP(M511,Skills[Action],Skills[Icon],"")</f>
        <v/>
      </c>
      <c r="P511" s="5" t="str">
        <f t="array" ref="P511">XLOOKUP(O511,Skills[Action],Skills[Icon],"")</f>
        <v/>
      </c>
      <c r="R511" s="5" t="str">
        <f t="array" ref="R511">XLOOKUP(Q511,Skills[Action],Skills[Icon],"")</f>
        <v/>
      </c>
      <c r="T511" s="5" t="str">
        <f t="array" ref="T511">XLOOKUP(S511,Skills[Action],Skills[Icon],"")</f>
        <v/>
      </c>
      <c r="V511" s="5" t="str">
        <f t="array" ref="V511">XLOOKUP(U511,Skills[Action],Skills[Icon],"")</f>
        <v/>
      </c>
    </row>
    <row r="512">
      <c r="C512" s="7">
        <v>0.005902777777777778</v>
      </c>
      <c r="L512" s="5" t="str">
        <f t="array" ref="L512">XLOOKUP(K512,Skills[Action],Skills[Icon],"")</f>
        <v/>
      </c>
      <c r="N512" s="5" t="str">
        <f t="array" ref="N512">XLOOKUP(M512,Skills[Action],Skills[Icon],"")</f>
        <v/>
      </c>
      <c r="P512" s="5" t="str">
        <f t="array" ref="P512">XLOOKUP(O512,Skills[Action],Skills[Icon],"")</f>
        <v/>
      </c>
      <c r="R512" s="5" t="str">
        <f t="array" ref="R512">XLOOKUP(Q512,Skills[Action],Skills[Icon],"")</f>
        <v/>
      </c>
      <c r="T512" s="5" t="str">
        <f t="array" ref="T512">XLOOKUP(S512,Skills[Action],Skills[Icon],"")</f>
        <v/>
      </c>
      <c r="V512" s="5" t="str">
        <f t="array" ref="V512">XLOOKUP(U512,Skills[Action],Skills[Icon],"")</f>
        <v/>
      </c>
    </row>
    <row r="513">
      <c r="C513" s="7">
        <v>0.005914351851851852</v>
      </c>
      <c r="L513" s="5" t="str">
        <f t="array" ref="L513">XLOOKUP(K513,Skills[Action],Skills[Icon],"")</f>
        <v/>
      </c>
      <c r="N513" s="5" t="str">
        <f t="array" ref="N513">XLOOKUP(M513,Skills[Action],Skills[Icon],"")</f>
        <v/>
      </c>
      <c r="P513" s="5" t="str">
        <f t="array" ref="P513">XLOOKUP(O513,Skills[Action],Skills[Icon],"")</f>
        <v/>
      </c>
      <c r="R513" s="5" t="str">
        <f t="array" ref="R513">XLOOKUP(Q513,Skills[Action],Skills[Icon],"")</f>
        <v/>
      </c>
      <c r="T513" s="5" t="str">
        <f t="array" ref="T513">XLOOKUP(S513,Skills[Action],Skills[Icon],"")</f>
        <v/>
      </c>
      <c r="V513" s="5" t="str">
        <f t="array" ref="V513">XLOOKUP(U513,Skills[Action],Skills[Icon],"")</f>
        <v/>
      </c>
    </row>
    <row r="514">
      <c r="C514" s="7">
        <v>0.005925925925925926</v>
      </c>
      <c r="L514" s="5" t="str">
        <f t="array" ref="L514">XLOOKUP(K514,Skills[Action],Skills[Icon],"")</f>
        <v/>
      </c>
      <c r="N514" s="5" t="str">
        <f t="array" ref="N514">XLOOKUP(M514,Skills[Action],Skills[Icon],"")</f>
        <v/>
      </c>
      <c r="P514" s="5" t="str">
        <f t="array" ref="P514">XLOOKUP(O514,Skills[Action],Skills[Icon],"")</f>
        <v/>
      </c>
      <c r="R514" s="5" t="str">
        <f t="array" ref="R514">XLOOKUP(Q514,Skills[Action],Skills[Icon],"")</f>
        <v/>
      </c>
      <c r="T514" s="5" t="str">
        <f t="array" ref="T514">XLOOKUP(S514,Skills[Action],Skills[Icon],"")</f>
        <v/>
      </c>
      <c r="V514" s="5" t="str">
        <f t="array" ref="V514">XLOOKUP(U514,Skills[Action],Skills[Icon],"")</f>
        <v/>
      </c>
    </row>
    <row r="515">
      <c r="C515" s="7">
        <v>0.0059375</v>
      </c>
      <c r="L515" s="5" t="str">
        <f t="array" ref="L515">XLOOKUP(K515,Skills[Action],Skills[Icon],"")</f>
        <v/>
      </c>
      <c r="N515" s="5" t="str">
        <f t="array" ref="N515">XLOOKUP(M515,Skills[Action],Skills[Icon],"")</f>
        <v/>
      </c>
      <c r="P515" s="5" t="str">
        <f t="array" ref="P515">XLOOKUP(O515,Skills[Action],Skills[Icon],"")</f>
        <v/>
      </c>
      <c r="R515" s="5" t="str">
        <f t="array" ref="R515">XLOOKUP(Q515,Skills[Action],Skills[Icon],"")</f>
        <v/>
      </c>
      <c r="T515" s="5" t="str">
        <f t="array" ref="T515">XLOOKUP(S515,Skills[Action],Skills[Icon],"")</f>
        <v/>
      </c>
      <c r="V515" s="5" t="str">
        <f t="array" ref="V515">XLOOKUP(U515,Skills[Action],Skills[Icon],"")</f>
        <v/>
      </c>
    </row>
    <row r="516">
      <c r="C516" s="7">
        <v>0.0059490740740740745</v>
      </c>
      <c r="L516" s="5" t="str">
        <f t="array" ref="L516">XLOOKUP(K516,Skills[Action],Skills[Icon],"")</f>
        <v/>
      </c>
      <c r="N516" s="5" t="str">
        <f t="array" ref="N516">XLOOKUP(M516,Skills[Action],Skills[Icon],"")</f>
        <v/>
      </c>
      <c r="P516" s="5" t="str">
        <f t="array" ref="P516">XLOOKUP(O516,Skills[Action],Skills[Icon],"")</f>
        <v/>
      </c>
      <c r="R516" s="5" t="str">
        <f t="array" ref="R516">XLOOKUP(Q516,Skills[Action],Skills[Icon],"")</f>
        <v/>
      </c>
      <c r="T516" s="5" t="str">
        <f t="array" ref="T516">XLOOKUP(S516,Skills[Action],Skills[Icon],"")</f>
        <v/>
      </c>
      <c r="V516" s="5" t="str">
        <f t="array" ref="V516">XLOOKUP(U516,Skills[Action],Skills[Icon],"")</f>
        <v/>
      </c>
    </row>
    <row r="517">
      <c r="C517" s="7">
        <v>0.005960648148148148</v>
      </c>
      <c r="L517" s="5" t="str">
        <f t="array" ref="L517">XLOOKUP(K517,Skills[Action],Skills[Icon],"")</f>
        <v/>
      </c>
      <c r="N517" s="5" t="str">
        <f t="array" ref="N517">XLOOKUP(M517,Skills[Action],Skills[Icon],"")</f>
        <v/>
      </c>
      <c r="P517" s="5" t="str">
        <f t="array" ref="P517">XLOOKUP(O517,Skills[Action],Skills[Icon],"")</f>
        <v/>
      </c>
      <c r="R517" s="5" t="str">
        <f t="array" ref="R517">XLOOKUP(Q517,Skills[Action],Skills[Icon],"")</f>
        <v/>
      </c>
      <c r="T517" s="5" t="str">
        <f t="array" ref="T517">XLOOKUP(S517,Skills[Action],Skills[Icon],"")</f>
        <v/>
      </c>
      <c r="V517" s="5" t="str">
        <f t="array" ref="V517">XLOOKUP(U517,Skills[Action],Skills[Icon],"")</f>
        <v/>
      </c>
    </row>
    <row r="518">
      <c r="C518" s="7">
        <v>0.0059722222222222225</v>
      </c>
      <c r="L518" s="5" t="str">
        <f t="array" ref="L518">XLOOKUP(K518,Skills[Action],Skills[Icon],"")</f>
        <v/>
      </c>
      <c r="N518" s="5" t="str">
        <f t="array" ref="N518">XLOOKUP(M518,Skills[Action],Skills[Icon],"")</f>
        <v/>
      </c>
      <c r="P518" s="5" t="str">
        <f t="array" ref="P518">XLOOKUP(O518,Skills[Action],Skills[Icon],"")</f>
        <v/>
      </c>
      <c r="R518" s="5" t="str">
        <f t="array" ref="R518">XLOOKUP(Q518,Skills[Action],Skills[Icon],"")</f>
        <v/>
      </c>
      <c r="T518" s="5" t="str">
        <f t="array" ref="T518">XLOOKUP(S518,Skills[Action],Skills[Icon],"")</f>
        <v/>
      </c>
      <c r="V518" s="5" t="str">
        <f t="array" ref="V518">XLOOKUP(U518,Skills[Action],Skills[Icon],"")</f>
        <v/>
      </c>
    </row>
    <row r="519">
      <c r="C519" s="7">
        <v>0.005983796296296296</v>
      </c>
      <c r="L519" s="5" t="str">
        <f t="array" ref="L519">XLOOKUP(K519,Skills[Action],Skills[Icon],"")</f>
        <v/>
      </c>
      <c r="N519" s="5" t="str">
        <f t="array" ref="N519">XLOOKUP(M519,Skills[Action],Skills[Icon],"")</f>
        <v/>
      </c>
      <c r="P519" s="5" t="str">
        <f t="array" ref="P519">XLOOKUP(O519,Skills[Action],Skills[Icon],"")</f>
        <v/>
      </c>
      <c r="R519" s="5" t="str">
        <f t="array" ref="R519">XLOOKUP(Q519,Skills[Action],Skills[Icon],"")</f>
        <v/>
      </c>
      <c r="T519" s="5" t="str">
        <f t="array" ref="T519">XLOOKUP(S519,Skills[Action],Skills[Icon],"")</f>
        <v/>
      </c>
      <c r="V519" s="5" t="str">
        <f t="array" ref="V519">XLOOKUP(U519,Skills[Action],Skills[Icon],"")</f>
        <v/>
      </c>
    </row>
    <row r="520">
      <c r="C520" s="7">
        <v>0.0059953703703703705</v>
      </c>
      <c r="L520" s="5" t="str">
        <f t="array" ref="L520">XLOOKUP(K520,Skills[Action],Skills[Icon],"")</f>
        <v/>
      </c>
      <c r="N520" s="5" t="str">
        <f t="array" ref="N520">XLOOKUP(M520,Skills[Action],Skills[Icon],"")</f>
        <v/>
      </c>
      <c r="P520" s="5" t="str">
        <f t="array" ref="P520">XLOOKUP(O520,Skills[Action],Skills[Icon],"")</f>
        <v/>
      </c>
      <c r="R520" s="5" t="str">
        <f t="array" ref="R520">XLOOKUP(Q520,Skills[Action],Skills[Icon],"")</f>
        <v/>
      </c>
      <c r="T520" s="5" t="str">
        <f t="array" ref="T520">XLOOKUP(S520,Skills[Action],Skills[Icon],"")</f>
        <v/>
      </c>
      <c r="V520" s="5" t="str">
        <f t="array" ref="V520">XLOOKUP(U520,Skills[Action],Skills[Icon],"")</f>
        <v/>
      </c>
    </row>
    <row r="521">
      <c r="C521" s="7">
        <v>0.006006944444444444</v>
      </c>
      <c r="L521" s="5" t="str">
        <f t="array" ref="L521">XLOOKUP(K521,Skills[Action],Skills[Icon],"")</f>
        <v/>
      </c>
      <c r="N521" s="5" t="str">
        <f t="array" ref="N521">XLOOKUP(M521,Skills[Action],Skills[Icon],"")</f>
        <v/>
      </c>
      <c r="P521" s="5" t="str">
        <f t="array" ref="P521">XLOOKUP(O521,Skills[Action],Skills[Icon],"")</f>
        <v/>
      </c>
      <c r="R521" s="5" t="str">
        <f t="array" ref="R521">XLOOKUP(Q521,Skills[Action],Skills[Icon],"")</f>
        <v/>
      </c>
      <c r="T521" s="5" t="str">
        <f t="array" ref="T521">XLOOKUP(S521,Skills[Action],Skills[Icon],"")</f>
        <v/>
      </c>
      <c r="V521" s="5" t="str">
        <f t="array" ref="V521">XLOOKUP(U521,Skills[Action],Skills[Icon],"")</f>
        <v/>
      </c>
    </row>
    <row r="522">
      <c r="C522" s="7">
        <v>0.0060185185185185185</v>
      </c>
      <c r="L522" s="5" t="str">
        <f t="array" ref="L522">XLOOKUP(K522,Skills[Action],Skills[Icon],"")</f>
        <v/>
      </c>
      <c r="N522" s="5" t="str">
        <f t="array" ref="N522">XLOOKUP(M522,Skills[Action],Skills[Icon],"")</f>
        <v/>
      </c>
      <c r="P522" s="5" t="str">
        <f t="array" ref="P522">XLOOKUP(O522,Skills[Action],Skills[Icon],"")</f>
        <v/>
      </c>
      <c r="R522" s="5" t="str">
        <f t="array" ref="R522">XLOOKUP(Q522,Skills[Action],Skills[Icon],"")</f>
        <v/>
      </c>
      <c r="T522" s="5" t="str">
        <f t="array" ref="T522">XLOOKUP(S522,Skills[Action],Skills[Icon],"")</f>
        <v/>
      </c>
      <c r="V522" s="5" t="str">
        <f t="array" ref="V522">XLOOKUP(U522,Skills[Action],Skills[Icon],"")</f>
        <v/>
      </c>
    </row>
    <row r="523">
      <c r="C523" s="7">
        <v>0.006030092592592593</v>
      </c>
      <c r="L523" s="5" t="str">
        <f t="array" ref="L523">XLOOKUP(K523,Skills[Action],Skills[Icon],"")</f>
        <v/>
      </c>
      <c r="N523" s="5" t="str">
        <f t="array" ref="N523">XLOOKUP(M523,Skills[Action],Skills[Icon],"")</f>
        <v/>
      </c>
      <c r="P523" s="5" t="str">
        <f t="array" ref="P523">XLOOKUP(O523,Skills[Action],Skills[Icon],"")</f>
        <v/>
      </c>
      <c r="R523" s="5" t="str">
        <f t="array" ref="R523">XLOOKUP(Q523,Skills[Action],Skills[Icon],"")</f>
        <v/>
      </c>
      <c r="T523" s="5" t="str">
        <f t="array" ref="T523">XLOOKUP(S523,Skills[Action],Skills[Icon],"")</f>
        <v/>
      </c>
      <c r="V523" s="5" t="str">
        <f t="array" ref="V523">XLOOKUP(U523,Skills[Action],Skills[Icon],"")</f>
        <v/>
      </c>
    </row>
    <row r="524">
      <c r="C524" s="7">
        <v>0.0060416666666666665</v>
      </c>
      <c r="L524" s="5" t="str">
        <f t="array" ref="L524">XLOOKUP(K524,Skills[Action],Skills[Icon],"")</f>
        <v/>
      </c>
      <c r="N524" s="5" t="str">
        <f t="array" ref="N524">XLOOKUP(M524,Skills[Action],Skills[Icon],"")</f>
        <v/>
      </c>
      <c r="P524" s="5" t="str">
        <f t="array" ref="P524">XLOOKUP(O524,Skills[Action],Skills[Icon],"")</f>
        <v/>
      </c>
      <c r="R524" s="5" t="str">
        <f t="array" ref="R524">XLOOKUP(Q524,Skills[Action],Skills[Icon],"")</f>
        <v/>
      </c>
      <c r="T524" s="5" t="str">
        <f t="array" ref="T524">XLOOKUP(S524,Skills[Action],Skills[Icon],"")</f>
        <v/>
      </c>
      <c r="V524" s="5" t="str">
        <f t="array" ref="V524">XLOOKUP(U524,Skills[Action],Skills[Icon],"")</f>
        <v/>
      </c>
    </row>
    <row r="525">
      <c r="C525" s="7">
        <v>0.006053240740740741</v>
      </c>
      <c r="L525" s="5" t="str">
        <f t="array" ref="L525">XLOOKUP(K525,Skills[Action],Skills[Icon],"")</f>
        <v/>
      </c>
      <c r="N525" s="5" t="str">
        <f t="array" ref="N525">XLOOKUP(M525,Skills[Action],Skills[Icon],"")</f>
        <v/>
      </c>
      <c r="P525" s="5" t="str">
        <f t="array" ref="P525">XLOOKUP(O525,Skills[Action],Skills[Icon],"")</f>
        <v/>
      </c>
      <c r="R525" s="5" t="str">
        <f t="array" ref="R525">XLOOKUP(Q525,Skills[Action],Skills[Icon],"")</f>
        <v/>
      </c>
      <c r="T525" s="5" t="str">
        <f t="array" ref="T525">XLOOKUP(S525,Skills[Action],Skills[Icon],"")</f>
        <v/>
      </c>
      <c r="V525" s="5" t="str">
        <f t="array" ref="V525">XLOOKUP(U525,Skills[Action],Skills[Icon],"")</f>
        <v/>
      </c>
    </row>
    <row r="526">
      <c r="C526" s="7">
        <v>0.0060648148148148145</v>
      </c>
      <c r="L526" s="5" t="str">
        <f t="array" ref="L526">XLOOKUP(K526,Skills[Action],Skills[Icon],"")</f>
        <v/>
      </c>
      <c r="N526" s="5" t="str">
        <f t="array" ref="N526">XLOOKUP(M526,Skills[Action],Skills[Icon],"")</f>
        <v/>
      </c>
      <c r="P526" s="5" t="str">
        <f t="array" ref="P526">XLOOKUP(O526,Skills[Action],Skills[Icon],"")</f>
        <v/>
      </c>
      <c r="R526" s="5" t="str">
        <f t="array" ref="R526">XLOOKUP(Q526,Skills[Action],Skills[Icon],"")</f>
        <v/>
      </c>
      <c r="T526" s="5" t="str">
        <f t="array" ref="T526">XLOOKUP(S526,Skills[Action],Skills[Icon],"")</f>
        <v/>
      </c>
      <c r="V526" s="5" t="str">
        <f t="array" ref="V526">XLOOKUP(U526,Skills[Action],Skills[Icon],"")</f>
        <v/>
      </c>
    </row>
    <row r="527">
      <c r="C527" s="7">
        <v>0.006076388888888889</v>
      </c>
      <c r="L527" s="5" t="str">
        <f t="array" ref="L527">XLOOKUP(K527,Skills[Action],Skills[Icon],"")</f>
        <v/>
      </c>
      <c r="N527" s="5" t="str">
        <f t="array" ref="N527">XLOOKUP(M527,Skills[Action],Skills[Icon],"")</f>
        <v/>
      </c>
      <c r="P527" s="5" t="str">
        <f t="array" ref="P527">XLOOKUP(O527,Skills[Action],Skills[Icon],"")</f>
        <v/>
      </c>
      <c r="R527" s="5" t="str">
        <f t="array" ref="R527">XLOOKUP(Q527,Skills[Action],Skills[Icon],"")</f>
        <v/>
      </c>
      <c r="T527" s="5" t="str">
        <f t="array" ref="T527">XLOOKUP(S527,Skills[Action],Skills[Icon],"")</f>
        <v/>
      </c>
      <c r="V527" s="5" t="str">
        <f t="array" ref="V527">XLOOKUP(U527,Skills[Action],Skills[Icon],"")</f>
        <v/>
      </c>
    </row>
    <row r="528">
      <c r="C528" s="7">
        <v>0.0060879629629629626</v>
      </c>
      <c r="L528" s="5" t="str">
        <f t="array" ref="L528">XLOOKUP(K528,Skills[Action],Skills[Icon],"")</f>
        <v/>
      </c>
      <c r="N528" s="5" t="str">
        <f t="array" ref="N528">XLOOKUP(M528,Skills[Action],Skills[Icon],"")</f>
        <v/>
      </c>
      <c r="P528" s="5" t="str">
        <f t="array" ref="P528">XLOOKUP(O528,Skills[Action],Skills[Icon],"")</f>
        <v/>
      </c>
      <c r="R528" s="5" t="str">
        <f t="array" ref="R528">XLOOKUP(Q528,Skills[Action],Skills[Icon],"")</f>
        <v/>
      </c>
      <c r="T528" s="5" t="str">
        <f t="array" ref="T528">XLOOKUP(S528,Skills[Action],Skills[Icon],"")</f>
        <v/>
      </c>
      <c r="V528" s="5" t="str">
        <f t="array" ref="V528">XLOOKUP(U528,Skills[Action],Skills[Icon],"")</f>
        <v/>
      </c>
    </row>
    <row r="529">
      <c r="C529" s="7">
        <v>0.006099537037037037</v>
      </c>
      <c r="L529" s="5" t="str">
        <f t="array" ref="L529">XLOOKUP(K529,Skills[Action],Skills[Icon],"")</f>
        <v/>
      </c>
      <c r="N529" s="5" t="str">
        <f t="array" ref="N529">XLOOKUP(M529,Skills[Action],Skills[Icon],"")</f>
        <v/>
      </c>
      <c r="P529" s="5" t="str">
        <f t="array" ref="P529">XLOOKUP(O529,Skills[Action],Skills[Icon],"")</f>
        <v/>
      </c>
      <c r="R529" s="5" t="str">
        <f t="array" ref="R529">XLOOKUP(Q529,Skills[Action],Skills[Icon],"")</f>
        <v/>
      </c>
      <c r="T529" s="5" t="str">
        <f t="array" ref="T529">XLOOKUP(S529,Skills[Action],Skills[Icon],"")</f>
        <v/>
      </c>
      <c r="V529" s="5" t="str">
        <f t="array" ref="V529">XLOOKUP(U529,Skills[Action],Skills[Icon],"")</f>
        <v/>
      </c>
    </row>
    <row r="530">
      <c r="C530" s="7">
        <v>0.006111111111111111</v>
      </c>
      <c r="L530" s="5" t="str">
        <f t="array" ref="L530">XLOOKUP(K530,Skills[Action],Skills[Icon],"")</f>
        <v/>
      </c>
      <c r="N530" s="5" t="str">
        <f t="array" ref="N530">XLOOKUP(M530,Skills[Action],Skills[Icon],"")</f>
        <v/>
      </c>
      <c r="P530" s="5" t="str">
        <f t="array" ref="P530">XLOOKUP(O530,Skills[Action],Skills[Icon],"")</f>
        <v/>
      </c>
      <c r="R530" s="5" t="str">
        <f t="array" ref="R530">XLOOKUP(Q530,Skills[Action],Skills[Icon],"")</f>
        <v/>
      </c>
      <c r="T530" s="5" t="str">
        <f t="array" ref="T530">XLOOKUP(S530,Skills[Action],Skills[Icon],"")</f>
        <v/>
      </c>
      <c r="V530" s="5" t="str">
        <f t="array" ref="V530">XLOOKUP(U530,Skills[Action],Skills[Icon],"")</f>
        <v/>
      </c>
    </row>
    <row r="531">
      <c r="C531" s="7">
        <v>0.006122685185185185</v>
      </c>
      <c r="L531" s="5" t="str">
        <f t="array" ref="L531">XLOOKUP(K531,Skills[Action],Skills[Icon],"")</f>
        <v/>
      </c>
      <c r="N531" s="5" t="str">
        <f t="array" ref="N531">XLOOKUP(M531,Skills[Action],Skills[Icon],"")</f>
        <v/>
      </c>
      <c r="P531" s="5" t="str">
        <f t="array" ref="P531">XLOOKUP(O531,Skills[Action],Skills[Icon],"")</f>
        <v/>
      </c>
      <c r="R531" s="5" t="str">
        <f t="array" ref="R531">XLOOKUP(Q531,Skills[Action],Skills[Icon],"")</f>
        <v/>
      </c>
      <c r="T531" s="5" t="str">
        <f t="array" ref="T531">XLOOKUP(S531,Skills[Action],Skills[Icon],"")</f>
        <v/>
      </c>
      <c r="V531" s="5" t="str">
        <f t="array" ref="V531">XLOOKUP(U531,Skills[Action],Skills[Icon],"")</f>
        <v/>
      </c>
    </row>
    <row r="532">
      <c r="C532" s="7">
        <v>0.0061342592592592594</v>
      </c>
      <c r="L532" s="5" t="str">
        <f t="array" ref="L532">XLOOKUP(K532,Skills[Action],Skills[Icon],"")</f>
        <v/>
      </c>
      <c r="N532" s="5" t="str">
        <f t="array" ref="N532">XLOOKUP(M532,Skills[Action],Skills[Icon],"")</f>
        <v/>
      </c>
      <c r="P532" s="5" t="str">
        <f t="array" ref="P532">XLOOKUP(O532,Skills[Action],Skills[Icon],"")</f>
        <v/>
      </c>
      <c r="R532" s="5" t="str">
        <f t="array" ref="R532">XLOOKUP(Q532,Skills[Action],Skills[Icon],"")</f>
        <v/>
      </c>
      <c r="T532" s="5" t="str">
        <f t="array" ref="T532">XLOOKUP(S532,Skills[Action],Skills[Icon],"")</f>
        <v/>
      </c>
      <c r="V532" s="5" t="str">
        <f t="array" ref="V532">XLOOKUP(U532,Skills[Action],Skills[Icon],"")</f>
        <v/>
      </c>
    </row>
    <row r="533">
      <c r="C533" s="7">
        <v>0.006145833333333333</v>
      </c>
      <c r="L533" s="5" t="str">
        <f t="array" ref="L533">XLOOKUP(K533,Skills[Action],Skills[Icon],"")</f>
        <v/>
      </c>
      <c r="N533" s="5" t="str">
        <f t="array" ref="N533">XLOOKUP(M533,Skills[Action],Skills[Icon],"")</f>
        <v/>
      </c>
      <c r="P533" s="5" t="str">
        <f t="array" ref="P533">XLOOKUP(O533,Skills[Action],Skills[Icon],"")</f>
        <v/>
      </c>
      <c r="R533" s="5" t="str">
        <f t="array" ref="R533">XLOOKUP(Q533,Skills[Action],Skills[Icon],"")</f>
        <v/>
      </c>
      <c r="T533" s="5" t="str">
        <f t="array" ref="T533">XLOOKUP(S533,Skills[Action],Skills[Icon],"")</f>
        <v/>
      </c>
      <c r="V533" s="5" t="str">
        <f t="array" ref="V533">XLOOKUP(U533,Skills[Action],Skills[Icon],"")</f>
        <v/>
      </c>
    </row>
    <row r="534">
      <c r="C534" s="7">
        <v>0.0061574074074074074</v>
      </c>
      <c r="L534" s="5" t="str">
        <f t="array" ref="L534">XLOOKUP(K534,Skills[Action],Skills[Icon],"")</f>
        <v/>
      </c>
      <c r="N534" s="5" t="str">
        <f t="array" ref="N534">XLOOKUP(M534,Skills[Action],Skills[Icon],"")</f>
        <v/>
      </c>
      <c r="P534" s="5" t="str">
        <f t="array" ref="P534">XLOOKUP(O534,Skills[Action],Skills[Icon],"")</f>
        <v/>
      </c>
      <c r="R534" s="5" t="str">
        <f t="array" ref="R534">XLOOKUP(Q534,Skills[Action],Skills[Icon],"")</f>
        <v/>
      </c>
      <c r="T534" s="5" t="str">
        <f t="array" ref="T534">XLOOKUP(S534,Skills[Action],Skills[Icon],"")</f>
        <v/>
      </c>
      <c r="V534" s="5" t="str">
        <f t="array" ref="V534">XLOOKUP(U534,Skills[Action],Skills[Icon],"")</f>
        <v/>
      </c>
    </row>
    <row r="535">
      <c r="C535" s="7">
        <v>0.006168981481481482</v>
      </c>
      <c r="L535" s="5" t="str">
        <f t="array" ref="L535">XLOOKUP(K535,Skills[Action],Skills[Icon],"")</f>
        <v/>
      </c>
      <c r="N535" s="5" t="str">
        <f t="array" ref="N535">XLOOKUP(M535,Skills[Action],Skills[Icon],"")</f>
        <v/>
      </c>
      <c r="P535" s="5" t="str">
        <f t="array" ref="P535">XLOOKUP(O535,Skills[Action],Skills[Icon],"")</f>
        <v/>
      </c>
      <c r="R535" s="5" t="str">
        <f t="array" ref="R535">XLOOKUP(Q535,Skills[Action],Skills[Icon],"")</f>
        <v/>
      </c>
      <c r="T535" s="5" t="str">
        <f t="array" ref="T535">XLOOKUP(S535,Skills[Action],Skills[Icon],"")</f>
        <v/>
      </c>
      <c r="V535" s="5" t="str">
        <f t="array" ref="V535">XLOOKUP(U535,Skills[Action],Skills[Icon],"")</f>
        <v/>
      </c>
    </row>
    <row r="536">
      <c r="C536" s="7">
        <v>0.0061805555555555555</v>
      </c>
      <c r="L536" s="5" t="str">
        <f t="array" ref="L536">XLOOKUP(K536,Skills[Action],Skills[Icon],"")</f>
        <v/>
      </c>
      <c r="N536" s="5" t="str">
        <f t="array" ref="N536">XLOOKUP(M536,Skills[Action],Skills[Icon],"")</f>
        <v/>
      </c>
      <c r="P536" s="5" t="str">
        <f t="array" ref="P536">XLOOKUP(O536,Skills[Action],Skills[Icon],"")</f>
        <v/>
      </c>
      <c r="R536" s="5" t="str">
        <f t="array" ref="R536">XLOOKUP(Q536,Skills[Action],Skills[Icon],"")</f>
        <v/>
      </c>
      <c r="T536" s="5" t="str">
        <f t="array" ref="T536">XLOOKUP(S536,Skills[Action],Skills[Icon],"")</f>
        <v/>
      </c>
      <c r="V536" s="5" t="str">
        <f t="array" ref="V536">XLOOKUP(U536,Skills[Action],Skills[Icon],"")</f>
        <v/>
      </c>
    </row>
    <row r="537">
      <c r="C537" s="7">
        <v>0.00619212962962963</v>
      </c>
      <c r="L537" s="5" t="str">
        <f t="array" ref="L537">XLOOKUP(K537,Skills[Action],Skills[Icon],"")</f>
        <v/>
      </c>
      <c r="N537" s="5" t="str">
        <f t="array" ref="N537">XLOOKUP(M537,Skills[Action],Skills[Icon],"")</f>
        <v/>
      </c>
      <c r="P537" s="5" t="str">
        <f t="array" ref="P537">XLOOKUP(O537,Skills[Action],Skills[Icon],"")</f>
        <v/>
      </c>
      <c r="R537" s="5" t="str">
        <f t="array" ref="R537">XLOOKUP(Q537,Skills[Action],Skills[Icon],"")</f>
        <v/>
      </c>
      <c r="T537" s="5" t="str">
        <f t="array" ref="T537">XLOOKUP(S537,Skills[Action],Skills[Icon],"")</f>
        <v/>
      </c>
      <c r="V537" s="5" t="str">
        <f t="array" ref="V537">XLOOKUP(U537,Skills[Action],Skills[Icon],"")</f>
        <v/>
      </c>
    </row>
    <row r="538">
      <c r="C538" s="7">
        <v>0.0062037037037037035</v>
      </c>
      <c r="L538" s="5" t="str">
        <f t="array" ref="L538">XLOOKUP(K538,Skills[Action],Skills[Icon],"")</f>
        <v/>
      </c>
      <c r="N538" s="5" t="str">
        <f t="array" ref="N538">XLOOKUP(M538,Skills[Action],Skills[Icon],"")</f>
        <v/>
      </c>
      <c r="P538" s="5" t="str">
        <f t="array" ref="P538">XLOOKUP(O538,Skills[Action],Skills[Icon],"")</f>
        <v/>
      </c>
      <c r="R538" s="5" t="str">
        <f t="array" ref="R538">XLOOKUP(Q538,Skills[Action],Skills[Icon],"")</f>
        <v/>
      </c>
      <c r="T538" s="5" t="str">
        <f t="array" ref="T538">XLOOKUP(S538,Skills[Action],Skills[Icon],"")</f>
        <v/>
      </c>
      <c r="V538" s="5" t="str">
        <f t="array" ref="V538">XLOOKUP(U538,Skills[Action],Skills[Icon],"")</f>
        <v/>
      </c>
    </row>
    <row r="539">
      <c r="C539" s="7">
        <v>0.006215277777777778</v>
      </c>
      <c r="L539" s="5" t="str">
        <f t="array" ref="L539">XLOOKUP(K539,Skills[Action],Skills[Icon],"")</f>
        <v/>
      </c>
      <c r="N539" s="5" t="str">
        <f t="array" ref="N539">XLOOKUP(M539,Skills[Action],Skills[Icon],"")</f>
        <v/>
      </c>
      <c r="P539" s="5" t="str">
        <f t="array" ref="P539">XLOOKUP(O539,Skills[Action],Skills[Icon],"")</f>
        <v/>
      </c>
      <c r="R539" s="5" t="str">
        <f t="array" ref="R539">XLOOKUP(Q539,Skills[Action],Skills[Icon],"")</f>
        <v/>
      </c>
      <c r="T539" s="5" t="str">
        <f t="array" ref="T539">XLOOKUP(S539,Skills[Action],Skills[Icon],"")</f>
        <v/>
      </c>
      <c r="V539" s="5" t="str">
        <f t="array" ref="V539">XLOOKUP(U539,Skills[Action],Skills[Icon],"")</f>
        <v/>
      </c>
    </row>
    <row r="540">
      <c r="C540" s="7">
        <v>0.0062268518518518515</v>
      </c>
      <c r="L540" s="5" t="str">
        <f t="array" ref="L540">XLOOKUP(K540,Skills[Action],Skills[Icon],"")</f>
        <v/>
      </c>
      <c r="N540" s="5" t="str">
        <f t="array" ref="N540">XLOOKUP(M540,Skills[Action],Skills[Icon],"")</f>
        <v/>
      </c>
      <c r="P540" s="5" t="str">
        <f t="array" ref="P540">XLOOKUP(O540,Skills[Action],Skills[Icon],"")</f>
        <v/>
      </c>
      <c r="R540" s="5" t="str">
        <f t="array" ref="R540">XLOOKUP(Q540,Skills[Action],Skills[Icon],"")</f>
        <v/>
      </c>
      <c r="T540" s="5" t="str">
        <f t="array" ref="T540">XLOOKUP(S540,Skills[Action],Skills[Icon],"")</f>
        <v/>
      </c>
      <c r="V540" s="5" t="str">
        <f t="array" ref="V540">XLOOKUP(U540,Skills[Action],Skills[Icon],"")</f>
        <v/>
      </c>
    </row>
    <row r="541">
      <c r="C541" s="7">
        <v>0.006238425925925926</v>
      </c>
      <c r="L541" s="5" t="str">
        <f t="array" ref="L541">XLOOKUP(K541,Skills[Action],Skills[Icon],"")</f>
        <v/>
      </c>
      <c r="N541" s="5" t="str">
        <f t="array" ref="N541">XLOOKUP(M541,Skills[Action],Skills[Icon],"")</f>
        <v/>
      </c>
      <c r="P541" s="5" t="str">
        <f t="array" ref="P541">XLOOKUP(O541,Skills[Action],Skills[Icon],"")</f>
        <v/>
      </c>
      <c r="R541" s="5" t="str">
        <f t="array" ref="R541">XLOOKUP(Q541,Skills[Action],Skills[Icon],"")</f>
        <v/>
      </c>
      <c r="T541" s="5" t="str">
        <f t="array" ref="T541">XLOOKUP(S541,Skills[Action],Skills[Icon],"")</f>
        <v/>
      </c>
      <c r="V541" s="5" t="str">
        <f t="array" ref="V541">XLOOKUP(U541,Skills[Action],Skills[Icon],"")</f>
        <v/>
      </c>
    </row>
    <row r="542">
      <c r="C542" s="7">
        <v>0.00625</v>
      </c>
      <c r="L542" s="5" t="str">
        <f t="array" ref="L542">XLOOKUP(K542,Skills[Action],Skills[Icon],"")</f>
        <v/>
      </c>
      <c r="N542" s="5" t="str">
        <f t="array" ref="N542">XLOOKUP(M542,Skills[Action],Skills[Icon],"")</f>
        <v/>
      </c>
      <c r="P542" s="5" t="str">
        <f t="array" ref="P542">XLOOKUP(O542,Skills[Action],Skills[Icon],"")</f>
        <v/>
      </c>
      <c r="R542" s="5" t="str">
        <f t="array" ref="R542">XLOOKUP(Q542,Skills[Action],Skills[Icon],"")</f>
        <v/>
      </c>
      <c r="T542" s="5" t="str">
        <f t="array" ref="T542">XLOOKUP(S542,Skills[Action],Skills[Icon],"")</f>
        <v/>
      </c>
      <c r="V542" s="5" t="str">
        <f t="array" ref="V542">XLOOKUP(U542,Skills[Action],Skills[Icon],"")</f>
        <v/>
      </c>
    </row>
    <row r="543">
      <c r="C543" s="7">
        <v>0.006261574074074074</v>
      </c>
      <c r="L543" s="5" t="str">
        <f t="array" ref="L543">XLOOKUP(K543,Skills[Action],Skills[Icon],"")</f>
        <v/>
      </c>
      <c r="N543" s="5" t="str">
        <f t="array" ref="N543">XLOOKUP(M543,Skills[Action],Skills[Icon],"")</f>
        <v/>
      </c>
      <c r="P543" s="5" t="str">
        <f t="array" ref="P543">XLOOKUP(O543,Skills[Action],Skills[Icon],"")</f>
        <v/>
      </c>
      <c r="R543" s="5" t="str">
        <f t="array" ref="R543">XLOOKUP(Q543,Skills[Action],Skills[Icon],"")</f>
        <v/>
      </c>
      <c r="T543" s="5" t="str">
        <f t="array" ref="T543">XLOOKUP(S543,Skills[Action],Skills[Icon],"")</f>
        <v/>
      </c>
      <c r="V543" s="5" t="str">
        <f t="array" ref="V543">XLOOKUP(U543,Skills[Action],Skills[Icon],"")</f>
        <v/>
      </c>
    </row>
    <row r="544">
      <c r="C544" s="7">
        <v>0.006273148148148148</v>
      </c>
      <c r="L544" s="5" t="str">
        <f t="array" ref="L544">XLOOKUP(K544,Skills[Action],Skills[Icon],"")</f>
        <v/>
      </c>
      <c r="N544" s="5" t="str">
        <f t="array" ref="N544">XLOOKUP(M544,Skills[Action],Skills[Icon],"")</f>
        <v/>
      </c>
      <c r="P544" s="5" t="str">
        <f t="array" ref="P544">XLOOKUP(O544,Skills[Action],Skills[Icon],"")</f>
        <v/>
      </c>
      <c r="R544" s="5" t="str">
        <f t="array" ref="R544">XLOOKUP(Q544,Skills[Action],Skills[Icon],"")</f>
        <v/>
      </c>
      <c r="T544" s="5" t="str">
        <f t="array" ref="T544">XLOOKUP(S544,Skills[Action],Skills[Icon],"")</f>
        <v/>
      </c>
      <c r="V544" s="5" t="str">
        <f t="array" ref="V544">XLOOKUP(U544,Skills[Action],Skills[Icon],"")</f>
        <v/>
      </c>
    </row>
    <row r="545">
      <c r="C545" s="7">
        <v>0.006284722222222222</v>
      </c>
      <c r="L545" s="5" t="str">
        <f t="array" ref="L545">XLOOKUP(K545,Skills[Action],Skills[Icon],"")</f>
        <v/>
      </c>
      <c r="N545" s="5" t="str">
        <f t="array" ref="N545">XLOOKUP(M545,Skills[Action],Skills[Icon],"")</f>
        <v/>
      </c>
      <c r="P545" s="5" t="str">
        <f t="array" ref="P545">XLOOKUP(O545,Skills[Action],Skills[Icon],"")</f>
        <v/>
      </c>
      <c r="R545" s="5" t="str">
        <f t="array" ref="R545">XLOOKUP(Q545,Skills[Action],Skills[Icon],"")</f>
        <v/>
      </c>
      <c r="T545" s="5" t="str">
        <f t="array" ref="T545">XLOOKUP(S545,Skills[Action],Skills[Icon],"")</f>
        <v/>
      </c>
      <c r="V545" s="5" t="str">
        <f t="array" ref="V545">XLOOKUP(U545,Skills[Action],Skills[Icon],"")</f>
        <v/>
      </c>
    </row>
    <row r="546">
      <c r="C546" s="7">
        <v>0.006296296296296296</v>
      </c>
      <c r="L546" s="5" t="str">
        <f t="array" ref="L546">XLOOKUP(K546,Skills[Action],Skills[Icon],"")</f>
        <v/>
      </c>
      <c r="N546" s="5" t="str">
        <f t="array" ref="N546">XLOOKUP(M546,Skills[Action],Skills[Icon],"")</f>
        <v/>
      </c>
      <c r="P546" s="5" t="str">
        <f t="array" ref="P546">XLOOKUP(O546,Skills[Action],Skills[Icon],"")</f>
        <v/>
      </c>
      <c r="R546" s="5" t="str">
        <f t="array" ref="R546">XLOOKUP(Q546,Skills[Action],Skills[Icon],"")</f>
        <v/>
      </c>
      <c r="T546" s="5" t="str">
        <f t="array" ref="T546">XLOOKUP(S546,Skills[Action],Skills[Icon],"")</f>
        <v/>
      </c>
      <c r="V546" s="5" t="str">
        <f t="array" ref="V546">XLOOKUP(U546,Skills[Action],Skills[Icon],"")</f>
        <v/>
      </c>
    </row>
    <row r="547">
      <c r="C547" s="7">
        <v>0.006307870370370371</v>
      </c>
      <c r="L547" s="5" t="str">
        <f t="array" ref="L547">XLOOKUP(K547,Skills[Action],Skills[Icon],"")</f>
        <v/>
      </c>
      <c r="N547" s="5" t="str">
        <f t="array" ref="N547">XLOOKUP(M547,Skills[Action],Skills[Icon],"")</f>
        <v/>
      </c>
      <c r="P547" s="5" t="str">
        <f t="array" ref="P547">XLOOKUP(O547,Skills[Action],Skills[Icon],"")</f>
        <v/>
      </c>
      <c r="R547" s="5" t="str">
        <f t="array" ref="R547">XLOOKUP(Q547,Skills[Action],Skills[Icon],"")</f>
        <v/>
      </c>
      <c r="T547" s="5" t="str">
        <f t="array" ref="T547">XLOOKUP(S547,Skills[Action],Skills[Icon],"")</f>
        <v/>
      </c>
      <c r="V547" s="5" t="str">
        <f t="array" ref="V547">XLOOKUP(U547,Skills[Action],Skills[Icon],"")</f>
        <v/>
      </c>
    </row>
    <row r="548">
      <c r="C548" s="7">
        <v>0.006319444444444444</v>
      </c>
      <c r="L548" s="5" t="str">
        <f t="array" ref="L548">XLOOKUP(K548,Skills[Action],Skills[Icon],"")</f>
        <v/>
      </c>
      <c r="N548" s="5" t="str">
        <f t="array" ref="N548">XLOOKUP(M548,Skills[Action],Skills[Icon],"")</f>
        <v/>
      </c>
      <c r="P548" s="5" t="str">
        <f t="array" ref="P548">XLOOKUP(O548,Skills[Action],Skills[Icon],"")</f>
        <v/>
      </c>
      <c r="R548" s="5" t="str">
        <f t="array" ref="R548">XLOOKUP(Q548,Skills[Action],Skills[Icon],"")</f>
        <v/>
      </c>
      <c r="T548" s="5" t="str">
        <f t="array" ref="T548">XLOOKUP(S548,Skills[Action],Skills[Icon],"")</f>
        <v/>
      </c>
      <c r="V548" s="5" t="str">
        <f t="array" ref="V548">XLOOKUP(U548,Skills[Action],Skills[Icon],"")</f>
        <v/>
      </c>
    </row>
    <row r="549">
      <c r="C549" s="7">
        <v>0.006331018518518519</v>
      </c>
      <c r="L549" s="5" t="str">
        <f t="array" ref="L549">XLOOKUP(K549,Skills[Action],Skills[Icon],"")</f>
        <v/>
      </c>
      <c r="N549" s="5" t="str">
        <f t="array" ref="N549">XLOOKUP(M549,Skills[Action],Skills[Icon],"")</f>
        <v/>
      </c>
      <c r="P549" s="5" t="str">
        <f t="array" ref="P549">XLOOKUP(O549,Skills[Action],Skills[Icon],"")</f>
        <v/>
      </c>
      <c r="R549" s="5" t="str">
        <f t="array" ref="R549">XLOOKUP(Q549,Skills[Action],Skills[Icon],"")</f>
        <v/>
      </c>
      <c r="T549" s="5" t="str">
        <f t="array" ref="T549">XLOOKUP(S549,Skills[Action],Skills[Icon],"")</f>
        <v/>
      </c>
      <c r="V549" s="5" t="str">
        <f t="array" ref="V549">XLOOKUP(U549,Skills[Action],Skills[Icon],"")</f>
        <v/>
      </c>
    </row>
    <row r="550">
      <c r="C550" s="7">
        <v>0.006342592592592592</v>
      </c>
      <c r="L550" s="5" t="str">
        <f t="array" ref="L550">XLOOKUP(K550,Skills[Action],Skills[Icon],"")</f>
        <v/>
      </c>
      <c r="N550" s="5" t="str">
        <f t="array" ref="N550">XLOOKUP(M550,Skills[Action],Skills[Icon],"")</f>
        <v/>
      </c>
      <c r="P550" s="5" t="str">
        <f t="array" ref="P550">XLOOKUP(O550,Skills[Action],Skills[Icon],"")</f>
        <v/>
      </c>
      <c r="R550" s="5" t="str">
        <f t="array" ref="R550">XLOOKUP(Q550,Skills[Action],Skills[Icon],"")</f>
        <v/>
      </c>
      <c r="T550" s="5" t="str">
        <f t="array" ref="T550">XLOOKUP(S550,Skills[Action],Skills[Icon],"")</f>
        <v/>
      </c>
      <c r="V550" s="5" t="str">
        <f t="array" ref="V550">XLOOKUP(U550,Skills[Action],Skills[Icon],"")</f>
        <v/>
      </c>
    </row>
    <row r="551">
      <c r="C551" s="7">
        <v>0.006354166666666667</v>
      </c>
      <c r="L551" s="5" t="str">
        <f t="array" ref="L551">XLOOKUP(K551,Skills[Action],Skills[Icon],"")</f>
        <v/>
      </c>
      <c r="N551" s="5" t="str">
        <f t="array" ref="N551">XLOOKUP(M551,Skills[Action],Skills[Icon],"")</f>
        <v/>
      </c>
      <c r="P551" s="5" t="str">
        <f t="array" ref="P551">XLOOKUP(O551,Skills[Action],Skills[Icon],"")</f>
        <v/>
      </c>
      <c r="R551" s="5" t="str">
        <f t="array" ref="R551">XLOOKUP(Q551,Skills[Action],Skills[Icon],"")</f>
        <v/>
      </c>
      <c r="T551" s="5" t="str">
        <f t="array" ref="T551">XLOOKUP(S551,Skills[Action],Skills[Icon],"")</f>
        <v/>
      </c>
      <c r="V551" s="5" t="str">
        <f t="array" ref="V551">XLOOKUP(U551,Skills[Action],Skills[Icon],"")</f>
        <v/>
      </c>
    </row>
    <row r="552">
      <c r="C552" s="7">
        <v>0.00636574074074074</v>
      </c>
      <c r="L552" s="5" t="str">
        <f t="array" ref="L552">XLOOKUP(K552,Skills[Action],Skills[Icon],"")</f>
        <v/>
      </c>
      <c r="N552" s="5" t="str">
        <f t="array" ref="N552">XLOOKUP(M552,Skills[Action],Skills[Icon],"")</f>
        <v/>
      </c>
      <c r="P552" s="5" t="str">
        <f t="array" ref="P552">XLOOKUP(O552,Skills[Action],Skills[Icon],"")</f>
        <v/>
      </c>
      <c r="R552" s="5" t="str">
        <f t="array" ref="R552">XLOOKUP(Q552,Skills[Action],Skills[Icon],"")</f>
        <v/>
      </c>
      <c r="T552" s="5" t="str">
        <f t="array" ref="T552">XLOOKUP(S552,Skills[Action],Skills[Icon],"")</f>
        <v/>
      </c>
      <c r="V552" s="5" t="str">
        <f t="array" ref="V552">XLOOKUP(U552,Skills[Action],Skills[Icon],"")</f>
        <v/>
      </c>
    </row>
    <row r="553">
      <c r="C553" s="7">
        <v>0.006377314814814815</v>
      </c>
      <c r="L553" s="5" t="str">
        <f t="array" ref="L553">XLOOKUP(K553,Skills[Action],Skills[Icon],"")</f>
        <v/>
      </c>
      <c r="N553" s="5" t="str">
        <f t="array" ref="N553">XLOOKUP(M553,Skills[Action],Skills[Icon],"")</f>
        <v/>
      </c>
      <c r="P553" s="5" t="str">
        <f t="array" ref="P553">XLOOKUP(O553,Skills[Action],Skills[Icon],"")</f>
        <v/>
      </c>
      <c r="R553" s="5" t="str">
        <f t="array" ref="R553">XLOOKUP(Q553,Skills[Action],Skills[Icon],"")</f>
        <v/>
      </c>
      <c r="T553" s="5" t="str">
        <f t="array" ref="T553">XLOOKUP(S553,Skills[Action],Skills[Icon],"")</f>
        <v/>
      </c>
      <c r="V553" s="5" t="str">
        <f t="array" ref="V553">XLOOKUP(U553,Skills[Action],Skills[Icon],"")</f>
        <v/>
      </c>
    </row>
    <row r="554">
      <c r="C554" s="7">
        <v>0.006388888888888889</v>
      </c>
      <c r="L554" s="5" t="str">
        <f t="array" ref="L554">XLOOKUP(K554,Skills[Action],Skills[Icon],"")</f>
        <v/>
      </c>
      <c r="N554" s="5" t="str">
        <f t="array" ref="N554">XLOOKUP(M554,Skills[Action],Skills[Icon],"")</f>
        <v/>
      </c>
      <c r="P554" s="5" t="str">
        <f t="array" ref="P554">XLOOKUP(O554,Skills[Action],Skills[Icon],"")</f>
        <v/>
      </c>
      <c r="R554" s="5" t="str">
        <f t="array" ref="R554">XLOOKUP(Q554,Skills[Action],Skills[Icon],"")</f>
        <v/>
      </c>
      <c r="T554" s="5" t="str">
        <f t="array" ref="T554">XLOOKUP(S554,Skills[Action],Skills[Icon],"")</f>
        <v/>
      </c>
      <c r="V554" s="5" t="str">
        <f t="array" ref="V554">XLOOKUP(U554,Skills[Action],Skills[Icon],"")</f>
        <v/>
      </c>
    </row>
    <row r="555">
      <c r="C555" s="7">
        <v>0.006400462962962963</v>
      </c>
      <c r="L555" s="5" t="str">
        <f t="array" ref="L555">XLOOKUP(K555,Skills[Action],Skills[Icon],"")</f>
        <v/>
      </c>
      <c r="N555" s="5" t="str">
        <f t="array" ref="N555">XLOOKUP(M555,Skills[Action],Skills[Icon],"")</f>
        <v/>
      </c>
      <c r="P555" s="5" t="str">
        <f t="array" ref="P555">XLOOKUP(O555,Skills[Action],Skills[Icon],"")</f>
        <v/>
      </c>
      <c r="R555" s="5" t="str">
        <f t="array" ref="R555">XLOOKUP(Q555,Skills[Action],Skills[Icon],"")</f>
        <v/>
      </c>
      <c r="T555" s="5" t="str">
        <f t="array" ref="T555">XLOOKUP(S555,Skills[Action],Skills[Icon],"")</f>
        <v/>
      </c>
      <c r="V555" s="5" t="str">
        <f t="array" ref="V555">XLOOKUP(U555,Skills[Action],Skills[Icon],"")</f>
        <v/>
      </c>
    </row>
    <row r="556">
      <c r="C556" s="7">
        <v>0.006412037037037037</v>
      </c>
      <c r="L556" s="5" t="str">
        <f t="array" ref="L556">XLOOKUP(K556,Skills[Action],Skills[Icon],"")</f>
        <v/>
      </c>
      <c r="N556" s="5" t="str">
        <f t="array" ref="N556">XLOOKUP(M556,Skills[Action],Skills[Icon],"")</f>
        <v/>
      </c>
      <c r="P556" s="5" t="str">
        <f t="array" ref="P556">XLOOKUP(O556,Skills[Action],Skills[Icon],"")</f>
        <v/>
      </c>
      <c r="R556" s="5" t="str">
        <f t="array" ref="R556">XLOOKUP(Q556,Skills[Action],Skills[Icon],"")</f>
        <v/>
      </c>
      <c r="T556" s="5" t="str">
        <f t="array" ref="T556">XLOOKUP(S556,Skills[Action],Skills[Icon],"")</f>
        <v/>
      </c>
      <c r="V556" s="5" t="str">
        <f t="array" ref="V556">XLOOKUP(U556,Skills[Action],Skills[Icon],"")</f>
        <v/>
      </c>
    </row>
    <row r="557">
      <c r="C557" s="7">
        <v>0.006423611111111111</v>
      </c>
      <c r="L557" s="5" t="str">
        <f t="array" ref="L557">XLOOKUP(K557,Skills[Action],Skills[Icon],"")</f>
        <v/>
      </c>
      <c r="N557" s="5" t="str">
        <f t="array" ref="N557">XLOOKUP(M557,Skills[Action],Skills[Icon],"")</f>
        <v/>
      </c>
      <c r="P557" s="5" t="str">
        <f t="array" ref="P557">XLOOKUP(O557,Skills[Action],Skills[Icon],"")</f>
        <v/>
      </c>
      <c r="R557" s="5" t="str">
        <f t="array" ref="R557">XLOOKUP(Q557,Skills[Action],Skills[Icon],"")</f>
        <v/>
      </c>
      <c r="T557" s="5" t="str">
        <f t="array" ref="T557">XLOOKUP(S557,Skills[Action],Skills[Icon],"")</f>
        <v/>
      </c>
      <c r="V557" s="5" t="str">
        <f t="array" ref="V557">XLOOKUP(U557,Skills[Action],Skills[Icon],"")</f>
        <v/>
      </c>
    </row>
    <row r="558">
      <c r="C558" s="7">
        <v>0.006435185185185185</v>
      </c>
      <c r="L558" s="5" t="str">
        <f t="array" ref="L558">XLOOKUP(K558,Skills[Action],Skills[Icon],"")</f>
        <v/>
      </c>
      <c r="N558" s="5" t="str">
        <f t="array" ref="N558">XLOOKUP(M558,Skills[Action],Skills[Icon],"")</f>
        <v/>
      </c>
      <c r="P558" s="5" t="str">
        <f t="array" ref="P558">XLOOKUP(O558,Skills[Action],Skills[Icon],"")</f>
        <v/>
      </c>
      <c r="R558" s="5" t="str">
        <f t="array" ref="R558">XLOOKUP(Q558,Skills[Action],Skills[Icon],"")</f>
        <v/>
      </c>
      <c r="T558" s="5" t="str">
        <f t="array" ref="T558">XLOOKUP(S558,Skills[Action],Skills[Icon],"")</f>
        <v/>
      </c>
      <c r="V558" s="5" t="str">
        <f t="array" ref="V558">XLOOKUP(U558,Skills[Action],Skills[Icon],"")</f>
        <v/>
      </c>
    </row>
    <row r="559">
      <c r="C559" s="7">
        <v>0.006446759259259259</v>
      </c>
      <c r="L559" s="5" t="str">
        <f t="array" ref="L559">XLOOKUP(K559,Skills[Action],Skills[Icon],"")</f>
        <v/>
      </c>
      <c r="N559" s="5" t="str">
        <f t="array" ref="N559">XLOOKUP(M559,Skills[Action],Skills[Icon],"")</f>
        <v/>
      </c>
      <c r="P559" s="5" t="str">
        <f t="array" ref="P559">XLOOKUP(O559,Skills[Action],Skills[Icon],"")</f>
        <v/>
      </c>
      <c r="R559" s="5" t="str">
        <f t="array" ref="R559">XLOOKUP(Q559,Skills[Action],Skills[Icon],"")</f>
        <v/>
      </c>
      <c r="T559" s="5" t="str">
        <f t="array" ref="T559">XLOOKUP(S559,Skills[Action],Skills[Icon],"")</f>
        <v/>
      </c>
      <c r="V559" s="5" t="str">
        <f t="array" ref="V559">XLOOKUP(U559,Skills[Action],Skills[Icon],"")</f>
        <v/>
      </c>
    </row>
    <row r="560">
      <c r="C560" s="7">
        <v>0.006458333333333333</v>
      </c>
      <c r="L560" s="5" t="str">
        <f t="array" ref="L560">XLOOKUP(K560,Skills[Action],Skills[Icon],"")</f>
        <v/>
      </c>
      <c r="N560" s="5" t="str">
        <f t="array" ref="N560">XLOOKUP(M560,Skills[Action],Skills[Icon],"")</f>
        <v/>
      </c>
      <c r="P560" s="5" t="str">
        <f t="array" ref="P560">XLOOKUP(O560,Skills[Action],Skills[Icon],"")</f>
        <v/>
      </c>
      <c r="R560" s="5" t="str">
        <f t="array" ref="R560">XLOOKUP(Q560,Skills[Action],Skills[Icon],"")</f>
        <v/>
      </c>
      <c r="T560" s="5" t="str">
        <f t="array" ref="T560">XLOOKUP(S560,Skills[Action],Skills[Icon],"")</f>
        <v/>
      </c>
      <c r="V560" s="5" t="str">
        <f t="array" ref="V560">XLOOKUP(U560,Skills[Action],Skills[Icon],"")</f>
        <v/>
      </c>
    </row>
    <row r="561">
      <c r="C561" s="7">
        <v>0.006469907407407408</v>
      </c>
      <c r="L561" s="5" t="str">
        <f t="array" ref="L561">XLOOKUP(K561,Skills[Action],Skills[Icon],"")</f>
        <v/>
      </c>
      <c r="N561" s="5" t="str">
        <f t="array" ref="N561">XLOOKUP(M561,Skills[Action],Skills[Icon],"")</f>
        <v/>
      </c>
      <c r="P561" s="5" t="str">
        <f t="array" ref="P561">XLOOKUP(O561,Skills[Action],Skills[Icon],"")</f>
        <v/>
      </c>
      <c r="R561" s="5" t="str">
        <f t="array" ref="R561">XLOOKUP(Q561,Skills[Action],Skills[Icon],"")</f>
        <v/>
      </c>
      <c r="T561" s="5" t="str">
        <f t="array" ref="T561">XLOOKUP(S561,Skills[Action],Skills[Icon],"")</f>
        <v/>
      </c>
      <c r="V561" s="5" t="str">
        <f t="array" ref="V561">XLOOKUP(U561,Skills[Action],Skills[Icon],"")</f>
        <v/>
      </c>
    </row>
    <row r="562">
      <c r="C562" s="7">
        <v>0.006481481481481481</v>
      </c>
      <c r="L562" s="5" t="str">
        <f t="array" ref="L562">XLOOKUP(K562,Skills[Action],Skills[Icon],"")</f>
        <v/>
      </c>
      <c r="N562" s="5" t="str">
        <f t="array" ref="N562">XLOOKUP(M562,Skills[Action],Skills[Icon],"")</f>
        <v/>
      </c>
      <c r="P562" s="5" t="str">
        <f t="array" ref="P562">XLOOKUP(O562,Skills[Action],Skills[Icon],"")</f>
        <v/>
      </c>
      <c r="R562" s="5" t="str">
        <f t="array" ref="R562">XLOOKUP(Q562,Skills[Action],Skills[Icon],"")</f>
        <v/>
      </c>
      <c r="T562" s="5" t="str">
        <f t="array" ref="T562">XLOOKUP(S562,Skills[Action],Skills[Icon],"")</f>
        <v/>
      </c>
      <c r="V562" s="5" t="str">
        <f t="array" ref="V562">XLOOKUP(U562,Skills[Action],Skills[Icon],"")</f>
        <v/>
      </c>
    </row>
    <row r="563">
      <c r="C563" s="7">
        <v>0.006493055555555556</v>
      </c>
      <c r="L563" s="5" t="str">
        <f t="array" ref="L563">XLOOKUP(K563,Skills[Action],Skills[Icon],"")</f>
        <v/>
      </c>
      <c r="N563" s="5" t="str">
        <f t="array" ref="N563">XLOOKUP(M563,Skills[Action],Skills[Icon],"")</f>
        <v/>
      </c>
      <c r="P563" s="5" t="str">
        <f t="array" ref="P563">XLOOKUP(O563,Skills[Action],Skills[Icon],"")</f>
        <v/>
      </c>
      <c r="R563" s="5" t="str">
        <f t="array" ref="R563">XLOOKUP(Q563,Skills[Action],Skills[Icon],"")</f>
        <v/>
      </c>
      <c r="T563" s="5" t="str">
        <f t="array" ref="T563">XLOOKUP(S563,Skills[Action],Skills[Icon],"")</f>
        <v/>
      </c>
      <c r="V563" s="5" t="str">
        <f t="array" ref="V563">XLOOKUP(U563,Skills[Action],Skills[Icon],"")</f>
        <v/>
      </c>
    </row>
    <row r="564">
      <c r="C564" s="7">
        <v>0.006504629629629629</v>
      </c>
      <c r="L564" s="5" t="str">
        <f t="array" ref="L564">XLOOKUP(K564,Skills[Action],Skills[Icon],"")</f>
        <v/>
      </c>
      <c r="N564" s="5" t="str">
        <f t="array" ref="N564">XLOOKUP(M564,Skills[Action],Skills[Icon],"")</f>
        <v/>
      </c>
      <c r="P564" s="5" t="str">
        <f t="array" ref="P564">XLOOKUP(O564,Skills[Action],Skills[Icon],"")</f>
        <v/>
      </c>
      <c r="R564" s="5" t="str">
        <f t="array" ref="R564">XLOOKUP(Q564,Skills[Action],Skills[Icon],"")</f>
        <v/>
      </c>
      <c r="T564" s="5" t="str">
        <f t="array" ref="T564">XLOOKUP(S564,Skills[Action],Skills[Icon],"")</f>
        <v/>
      </c>
      <c r="V564" s="5" t="str">
        <f t="array" ref="V564">XLOOKUP(U564,Skills[Action],Skills[Icon],"")</f>
        <v/>
      </c>
    </row>
    <row r="565">
      <c r="C565" s="7">
        <v>0.006516203703703704</v>
      </c>
      <c r="L565" s="5" t="str">
        <f t="array" ref="L565">XLOOKUP(K565,Skills[Action],Skills[Icon],"")</f>
        <v/>
      </c>
      <c r="N565" s="5" t="str">
        <f t="array" ref="N565">XLOOKUP(M565,Skills[Action],Skills[Icon],"")</f>
        <v/>
      </c>
      <c r="P565" s="5" t="str">
        <f t="array" ref="P565">XLOOKUP(O565,Skills[Action],Skills[Icon],"")</f>
        <v/>
      </c>
      <c r="R565" s="5" t="str">
        <f t="array" ref="R565">XLOOKUP(Q565,Skills[Action],Skills[Icon],"")</f>
        <v/>
      </c>
      <c r="T565" s="5" t="str">
        <f t="array" ref="T565">XLOOKUP(S565,Skills[Action],Skills[Icon],"")</f>
        <v/>
      </c>
      <c r="V565" s="5" t="str">
        <f t="array" ref="V565">XLOOKUP(U565,Skills[Action],Skills[Icon],"")</f>
        <v/>
      </c>
    </row>
    <row r="566">
      <c r="C566" s="7">
        <v>0.006527777777777778</v>
      </c>
      <c r="L566" s="5" t="str">
        <f t="array" ref="L566">XLOOKUP(K566,Skills[Action],Skills[Icon],"")</f>
        <v/>
      </c>
      <c r="N566" s="5" t="str">
        <f t="array" ref="N566">XLOOKUP(M566,Skills[Action],Skills[Icon],"")</f>
        <v/>
      </c>
      <c r="P566" s="5" t="str">
        <f t="array" ref="P566">XLOOKUP(O566,Skills[Action],Skills[Icon],"")</f>
        <v/>
      </c>
      <c r="R566" s="5" t="str">
        <f t="array" ref="R566">XLOOKUP(Q566,Skills[Action],Skills[Icon],"")</f>
        <v/>
      </c>
      <c r="T566" s="5" t="str">
        <f t="array" ref="T566">XLOOKUP(S566,Skills[Action],Skills[Icon],"")</f>
        <v/>
      </c>
      <c r="V566" s="5" t="str">
        <f t="array" ref="V566">XLOOKUP(U566,Skills[Action],Skills[Icon],"")</f>
        <v/>
      </c>
    </row>
    <row r="567">
      <c r="C567" s="7">
        <v>0.006539351851851852</v>
      </c>
      <c r="L567" s="5" t="str">
        <f t="array" ref="L567">XLOOKUP(K567,Skills[Action],Skills[Icon],"")</f>
        <v/>
      </c>
      <c r="N567" s="5" t="str">
        <f t="array" ref="N567">XLOOKUP(M567,Skills[Action],Skills[Icon],"")</f>
        <v/>
      </c>
      <c r="P567" s="5" t="str">
        <f t="array" ref="P567">XLOOKUP(O567,Skills[Action],Skills[Icon],"")</f>
        <v/>
      </c>
      <c r="R567" s="5" t="str">
        <f t="array" ref="R567">XLOOKUP(Q567,Skills[Action],Skills[Icon],"")</f>
        <v/>
      </c>
      <c r="T567" s="5" t="str">
        <f t="array" ref="T567">XLOOKUP(S567,Skills[Action],Skills[Icon],"")</f>
        <v/>
      </c>
      <c r="V567" s="5" t="str">
        <f t="array" ref="V567">XLOOKUP(U567,Skills[Action],Skills[Icon],"")</f>
        <v/>
      </c>
    </row>
    <row r="568">
      <c r="C568" s="7">
        <v>0.006550925925925926</v>
      </c>
      <c r="L568" s="5" t="str">
        <f t="array" ref="L568">XLOOKUP(K568,Skills[Action],Skills[Icon],"")</f>
        <v/>
      </c>
      <c r="N568" s="5" t="str">
        <f t="array" ref="N568">XLOOKUP(M568,Skills[Action],Skills[Icon],"")</f>
        <v/>
      </c>
      <c r="P568" s="5" t="str">
        <f t="array" ref="P568">XLOOKUP(O568,Skills[Action],Skills[Icon],"")</f>
        <v/>
      </c>
      <c r="R568" s="5" t="str">
        <f t="array" ref="R568">XLOOKUP(Q568,Skills[Action],Skills[Icon],"")</f>
        <v/>
      </c>
      <c r="T568" s="5" t="str">
        <f t="array" ref="T568">XLOOKUP(S568,Skills[Action],Skills[Icon],"")</f>
        <v/>
      </c>
      <c r="V568" s="5" t="str">
        <f t="array" ref="V568">XLOOKUP(U568,Skills[Action],Skills[Icon],"")</f>
        <v/>
      </c>
    </row>
    <row r="569">
      <c r="C569" s="7">
        <v>0.0065625</v>
      </c>
      <c r="L569" s="5" t="str">
        <f t="array" ref="L569">XLOOKUP(K569,Skills[Action],Skills[Icon],"")</f>
        <v/>
      </c>
      <c r="N569" s="5" t="str">
        <f t="array" ref="N569">XLOOKUP(M569,Skills[Action],Skills[Icon],"")</f>
        <v/>
      </c>
      <c r="P569" s="5" t="str">
        <f t="array" ref="P569">XLOOKUP(O569,Skills[Action],Skills[Icon],"")</f>
        <v/>
      </c>
      <c r="R569" s="5" t="str">
        <f t="array" ref="R569">XLOOKUP(Q569,Skills[Action],Skills[Icon],"")</f>
        <v/>
      </c>
      <c r="T569" s="5" t="str">
        <f t="array" ref="T569">XLOOKUP(S569,Skills[Action],Skills[Icon],"")</f>
        <v/>
      </c>
      <c r="V569" s="5" t="str">
        <f t="array" ref="V569">XLOOKUP(U569,Skills[Action],Skills[Icon],"")</f>
        <v/>
      </c>
    </row>
    <row r="570">
      <c r="C570" s="7">
        <v>0.006574074074074074</v>
      </c>
      <c r="L570" s="5" t="str">
        <f t="array" ref="L570">XLOOKUP(K570,Skills[Action],Skills[Icon],"")</f>
        <v/>
      </c>
      <c r="N570" s="5" t="str">
        <f t="array" ref="N570">XLOOKUP(M570,Skills[Action],Skills[Icon],"")</f>
        <v/>
      </c>
      <c r="P570" s="5" t="str">
        <f t="array" ref="P570">XLOOKUP(O570,Skills[Action],Skills[Icon],"")</f>
        <v/>
      </c>
      <c r="R570" s="5" t="str">
        <f t="array" ref="R570">XLOOKUP(Q570,Skills[Action],Skills[Icon],"")</f>
        <v/>
      </c>
      <c r="T570" s="5" t="str">
        <f t="array" ref="T570">XLOOKUP(S570,Skills[Action],Skills[Icon],"")</f>
        <v/>
      </c>
      <c r="V570" s="5" t="str">
        <f t="array" ref="V570">XLOOKUP(U570,Skills[Action],Skills[Icon],"")</f>
        <v/>
      </c>
    </row>
    <row r="571">
      <c r="C571" s="7">
        <v>0.006585648148148148</v>
      </c>
      <c r="L571" s="5" t="str">
        <f t="array" ref="L571">XLOOKUP(K571,Skills[Action],Skills[Icon],"")</f>
        <v/>
      </c>
      <c r="N571" s="5" t="str">
        <f t="array" ref="N571">XLOOKUP(M571,Skills[Action],Skills[Icon],"")</f>
        <v/>
      </c>
      <c r="P571" s="5" t="str">
        <f t="array" ref="P571">XLOOKUP(O571,Skills[Action],Skills[Icon],"")</f>
        <v/>
      </c>
      <c r="R571" s="5" t="str">
        <f t="array" ref="R571">XLOOKUP(Q571,Skills[Action],Skills[Icon],"")</f>
        <v/>
      </c>
      <c r="T571" s="5" t="str">
        <f t="array" ref="T571">XLOOKUP(S571,Skills[Action],Skills[Icon],"")</f>
        <v/>
      </c>
      <c r="V571" s="5" t="str">
        <f t="array" ref="V571">XLOOKUP(U571,Skills[Action],Skills[Icon],"")</f>
        <v/>
      </c>
    </row>
    <row r="572">
      <c r="C572" s="7">
        <v>0.006597222222222222</v>
      </c>
      <c r="L572" s="5" t="str">
        <f t="array" ref="L572">XLOOKUP(K572,Skills[Action],Skills[Icon],"")</f>
        <v/>
      </c>
      <c r="N572" s="5" t="str">
        <f t="array" ref="N572">XLOOKUP(M572,Skills[Action],Skills[Icon],"")</f>
        <v/>
      </c>
      <c r="P572" s="5" t="str">
        <f t="array" ref="P572">XLOOKUP(O572,Skills[Action],Skills[Icon],"")</f>
        <v/>
      </c>
      <c r="R572" s="5" t="str">
        <f t="array" ref="R572">XLOOKUP(Q572,Skills[Action],Skills[Icon],"")</f>
        <v/>
      </c>
      <c r="T572" s="5" t="str">
        <f t="array" ref="T572">XLOOKUP(S572,Skills[Action],Skills[Icon],"")</f>
        <v/>
      </c>
      <c r="V572" s="5" t="str">
        <f t="array" ref="V572">XLOOKUP(U572,Skills[Action],Skills[Icon],"")</f>
        <v/>
      </c>
    </row>
    <row r="573">
      <c r="C573" s="7">
        <v>0.006608796296296297</v>
      </c>
      <c r="L573" s="5" t="str">
        <f t="array" ref="L573">XLOOKUP(K573,Skills[Action],Skills[Icon],"")</f>
        <v/>
      </c>
      <c r="N573" s="5" t="str">
        <f t="array" ref="N573">XLOOKUP(M573,Skills[Action],Skills[Icon],"")</f>
        <v/>
      </c>
      <c r="P573" s="5" t="str">
        <f t="array" ref="P573">XLOOKUP(O573,Skills[Action],Skills[Icon],"")</f>
        <v/>
      </c>
      <c r="R573" s="5" t="str">
        <f t="array" ref="R573">XLOOKUP(Q573,Skills[Action],Skills[Icon],"")</f>
        <v/>
      </c>
      <c r="T573" s="5" t="str">
        <f t="array" ref="T573">XLOOKUP(S573,Skills[Action],Skills[Icon],"")</f>
        <v/>
      </c>
      <c r="V573" s="5" t="str">
        <f t="array" ref="V573">XLOOKUP(U573,Skills[Action],Skills[Icon],"")</f>
        <v/>
      </c>
    </row>
    <row r="574">
      <c r="C574" s="7">
        <v>0.00662037037037037</v>
      </c>
      <c r="L574" s="5" t="str">
        <f t="array" ref="L574">XLOOKUP(K574,Skills[Action],Skills[Icon],"")</f>
        <v/>
      </c>
      <c r="N574" s="5" t="str">
        <f t="array" ref="N574">XLOOKUP(M574,Skills[Action],Skills[Icon],"")</f>
        <v/>
      </c>
      <c r="P574" s="5" t="str">
        <f t="array" ref="P574">XLOOKUP(O574,Skills[Action],Skills[Icon],"")</f>
        <v/>
      </c>
      <c r="R574" s="5" t="str">
        <f t="array" ref="R574">XLOOKUP(Q574,Skills[Action],Skills[Icon],"")</f>
        <v/>
      </c>
      <c r="T574" s="5" t="str">
        <f t="array" ref="T574">XLOOKUP(S574,Skills[Action],Skills[Icon],"")</f>
        <v/>
      </c>
      <c r="V574" s="5" t="str">
        <f t="array" ref="V574">XLOOKUP(U574,Skills[Action],Skills[Icon],"")</f>
        <v/>
      </c>
    </row>
    <row r="575">
      <c r="C575" s="7">
        <v>0.006631944444444445</v>
      </c>
      <c r="L575" s="5" t="str">
        <f t="array" ref="L575">XLOOKUP(K575,Skills[Action],Skills[Icon],"")</f>
        <v/>
      </c>
      <c r="N575" s="5" t="str">
        <f t="array" ref="N575">XLOOKUP(M575,Skills[Action],Skills[Icon],"")</f>
        <v/>
      </c>
      <c r="P575" s="5" t="str">
        <f t="array" ref="P575">XLOOKUP(O575,Skills[Action],Skills[Icon],"")</f>
        <v/>
      </c>
      <c r="R575" s="5" t="str">
        <f t="array" ref="R575">XLOOKUP(Q575,Skills[Action],Skills[Icon],"")</f>
        <v/>
      </c>
      <c r="T575" s="5" t="str">
        <f t="array" ref="T575">XLOOKUP(S575,Skills[Action],Skills[Icon],"")</f>
        <v/>
      </c>
      <c r="V575" s="5" t="str">
        <f t="array" ref="V575">XLOOKUP(U575,Skills[Action],Skills[Icon],"")</f>
        <v/>
      </c>
    </row>
    <row r="576">
      <c r="C576" s="7">
        <v>0.006643518518518518</v>
      </c>
      <c r="L576" s="5" t="str">
        <f t="array" ref="L576">XLOOKUP(K576,Skills[Action],Skills[Icon],"")</f>
        <v/>
      </c>
      <c r="N576" s="5" t="str">
        <f t="array" ref="N576">XLOOKUP(M576,Skills[Action],Skills[Icon],"")</f>
        <v/>
      </c>
      <c r="P576" s="5" t="str">
        <f t="array" ref="P576">XLOOKUP(O576,Skills[Action],Skills[Icon],"")</f>
        <v/>
      </c>
      <c r="R576" s="5" t="str">
        <f t="array" ref="R576">XLOOKUP(Q576,Skills[Action],Skills[Icon],"")</f>
        <v/>
      </c>
      <c r="T576" s="5" t="str">
        <f t="array" ref="T576">XLOOKUP(S576,Skills[Action],Skills[Icon],"")</f>
        <v/>
      </c>
      <c r="V576" s="5" t="str">
        <f t="array" ref="V576">XLOOKUP(U576,Skills[Action],Skills[Icon],"")</f>
        <v/>
      </c>
    </row>
    <row r="577">
      <c r="C577" s="7">
        <v>0.006655092592592593</v>
      </c>
      <c r="L577" s="5" t="str">
        <f t="array" ref="L577">XLOOKUP(K577,Skills[Action],Skills[Icon],"")</f>
        <v/>
      </c>
      <c r="N577" s="5" t="str">
        <f t="array" ref="N577">XLOOKUP(M577,Skills[Action],Skills[Icon],"")</f>
        <v/>
      </c>
      <c r="P577" s="5" t="str">
        <f t="array" ref="P577">XLOOKUP(O577,Skills[Action],Skills[Icon],"")</f>
        <v/>
      </c>
      <c r="R577" s="5" t="str">
        <f t="array" ref="R577">XLOOKUP(Q577,Skills[Action],Skills[Icon],"")</f>
        <v/>
      </c>
      <c r="T577" s="5" t="str">
        <f t="array" ref="T577">XLOOKUP(S577,Skills[Action],Skills[Icon],"")</f>
        <v/>
      </c>
      <c r="V577" s="5" t="str">
        <f t="array" ref="V577">XLOOKUP(U577,Skills[Action],Skills[Icon],"")</f>
        <v/>
      </c>
    </row>
    <row r="578">
      <c r="C578" s="7">
        <v>0.006666666666666667</v>
      </c>
      <c r="L578" s="5" t="str">
        <f t="array" ref="L578">XLOOKUP(K578,Skills[Action],Skills[Icon],"")</f>
        <v/>
      </c>
      <c r="N578" s="5" t="str">
        <f t="array" ref="N578">XLOOKUP(M578,Skills[Action],Skills[Icon],"")</f>
        <v/>
      </c>
      <c r="P578" s="5" t="str">
        <f t="array" ref="P578">XLOOKUP(O578,Skills[Action],Skills[Icon],"")</f>
        <v/>
      </c>
      <c r="R578" s="5" t="str">
        <f t="array" ref="R578">XLOOKUP(Q578,Skills[Action],Skills[Icon],"")</f>
        <v/>
      </c>
      <c r="T578" s="5" t="str">
        <f t="array" ref="T578">XLOOKUP(S578,Skills[Action],Skills[Icon],"")</f>
        <v/>
      </c>
      <c r="V578" s="5" t="str">
        <f t="array" ref="V578">XLOOKUP(U578,Skills[Action],Skills[Icon],"")</f>
        <v/>
      </c>
    </row>
    <row r="579">
      <c r="C579" s="7">
        <v>0.006678240740740741</v>
      </c>
      <c r="L579" s="5" t="str">
        <f t="array" ref="L579">XLOOKUP(K579,Skills[Action],Skills[Icon],"")</f>
        <v/>
      </c>
      <c r="N579" s="5" t="str">
        <f t="array" ref="N579">XLOOKUP(M579,Skills[Action],Skills[Icon],"")</f>
        <v/>
      </c>
      <c r="P579" s="5" t="str">
        <f t="array" ref="P579">XLOOKUP(O579,Skills[Action],Skills[Icon],"")</f>
        <v/>
      </c>
      <c r="R579" s="5" t="str">
        <f t="array" ref="R579">XLOOKUP(Q579,Skills[Action],Skills[Icon],"")</f>
        <v/>
      </c>
      <c r="T579" s="5" t="str">
        <f t="array" ref="T579">XLOOKUP(S579,Skills[Action],Skills[Icon],"")</f>
        <v/>
      </c>
      <c r="V579" s="5" t="str">
        <f t="array" ref="V579">XLOOKUP(U579,Skills[Action],Skills[Icon],"")</f>
        <v/>
      </c>
    </row>
    <row r="580">
      <c r="C580" s="7">
        <v>0.006689814814814815</v>
      </c>
      <c r="L580" s="5" t="str">
        <f t="array" ref="L580">XLOOKUP(K580,Skills[Action],Skills[Icon],"")</f>
        <v/>
      </c>
      <c r="N580" s="5" t="str">
        <f t="array" ref="N580">XLOOKUP(M580,Skills[Action],Skills[Icon],"")</f>
        <v/>
      </c>
      <c r="P580" s="5" t="str">
        <f t="array" ref="P580">XLOOKUP(O580,Skills[Action],Skills[Icon],"")</f>
        <v/>
      </c>
      <c r="R580" s="5" t="str">
        <f t="array" ref="R580">XLOOKUP(Q580,Skills[Action],Skills[Icon],"")</f>
        <v/>
      </c>
      <c r="T580" s="5" t="str">
        <f t="array" ref="T580">XLOOKUP(S580,Skills[Action],Skills[Icon],"")</f>
        <v/>
      </c>
      <c r="V580" s="5" t="str">
        <f t="array" ref="V580">XLOOKUP(U580,Skills[Action],Skills[Icon],"")</f>
        <v/>
      </c>
    </row>
    <row r="581">
      <c r="C581" s="7">
        <v>0.006701388888888889</v>
      </c>
      <c r="L581" s="5" t="str">
        <f t="array" ref="L581">XLOOKUP(K581,Skills[Action],Skills[Icon],"")</f>
        <v/>
      </c>
      <c r="N581" s="5" t="str">
        <f t="array" ref="N581">XLOOKUP(M581,Skills[Action],Skills[Icon],"")</f>
        <v/>
      </c>
      <c r="P581" s="5" t="str">
        <f t="array" ref="P581">XLOOKUP(O581,Skills[Action],Skills[Icon],"")</f>
        <v/>
      </c>
      <c r="R581" s="5" t="str">
        <f t="array" ref="R581">XLOOKUP(Q581,Skills[Action],Skills[Icon],"")</f>
        <v/>
      </c>
      <c r="T581" s="5" t="str">
        <f t="array" ref="T581">XLOOKUP(S581,Skills[Action],Skills[Icon],"")</f>
        <v/>
      </c>
      <c r="V581" s="5" t="str">
        <f t="array" ref="V581">XLOOKUP(U581,Skills[Action],Skills[Icon],"")</f>
        <v/>
      </c>
    </row>
    <row r="582">
      <c r="C582" s="7">
        <v>0.006712962962962963</v>
      </c>
      <c r="L582" s="5" t="str">
        <f t="array" ref="L582">XLOOKUP(K582,Skills[Action],Skills[Icon],"")</f>
        <v/>
      </c>
      <c r="N582" s="5" t="str">
        <f t="array" ref="N582">XLOOKUP(M582,Skills[Action],Skills[Icon],"")</f>
        <v/>
      </c>
      <c r="P582" s="5" t="str">
        <f t="array" ref="P582">XLOOKUP(O582,Skills[Action],Skills[Icon],"")</f>
        <v/>
      </c>
      <c r="R582" s="5" t="str">
        <f t="array" ref="R582">XLOOKUP(Q582,Skills[Action],Skills[Icon],"")</f>
        <v/>
      </c>
      <c r="T582" s="5" t="str">
        <f t="array" ref="T582">XLOOKUP(S582,Skills[Action],Skills[Icon],"")</f>
        <v/>
      </c>
      <c r="V582" s="5" t="str">
        <f t="array" ref="V582">XLOOKUP(U582,Skills[Action],Skills[Icon],"")</f>
        <v/>
      </c>
    </row>
    <row r="583">
      <c r="C583" s="7">
        <v>0.006724537037037037</v>
      </c>
      <c r="L583" s="5" t="str">
        <f t="array" ref="L583">XLOOKUP(K583,Skills[Action],Skills[Icon],"")</f>
        <v/>
      </c>
      <c r="N583" s="5" t="str">
        <f t="array" ref="N583">XLOOKUP(M583,Skills[Action],Skills[Icon],"")</f>
        <v/>
      </c>
      <c r="P583" s="5" t="str">
        <f t="array" ref="P583">XLOOKUP(O583,Skills[Action],Skills[Icon],"")</f>
        <v/>
      </c>
      <c r="R583" s="5" t="str">
        <f t="array" ref="R583">XLOOKUP(Q583,Skills[Action],Skills[Icon],"")</f>
        <v/>
      </c>
      <c r="T583" s="5" t="str">
        <f t="array" ref="T583">XLOOKUP(S583,Skills[Action],Skills[Icon],"")</f>
        <v/>
      </c>
      <c r="V583" s="5" t="str">
        <f t="array" ref="V583">XLOOKUP(U583,Skills[Action],Skills[Icon],"")</f>
        <v/>
      </c>
    </row>
    <row r="584">
      <c r="C584" s="7">
        <v>0.006736111111111111</v>
      </c>
      <c r="L584" s="5" t="str">
        <f t="array" ref="L584">XLOOKUP(K584,Skills[Action],Skills[Icon],"")</f>
        <v/>
      </c>
      <c r="N584" s="5" t="str">
        <f t="array" ref="N584">XLOOKUP(M584,Skills[Action],Skills[Icon],"")</f>
        <v/>
      </c>
      <c r="P584" s="5" t="str">
        <f t="array" ref="P584">XLOOKUP(O584,Skills[Action],Skills[Icon],"")</f>
        <v/>
      </c>
      <c r="R584" s="5" t="str">
        <f t="array" ref="R584">XLOOKUP(Q584,Skills[Action],Skills[Icon],"")</f>
        <v/>
      </c>
      <c r="T584" s="5" t="str">
        <f t="array" ref="T584">XLOOKUP(S584,Skills[Action],Skills[Icon],"")</f>
        <v/>
      </c>
      <c r="V584" s="5" t="str">
        <f t="array" ref="V584">XLOOKUP(U584,Skills[Action],Skills[Icon],"")</f>
        <v/>
      </c>
    </row>
    <row r="585">
      <c r="C585" s="7">
        <v>0.0067476851851851856</v>
      </c>
      <c r="L585" s="5" t="str">
        <f t="array" ref="L585">XLOOKUP(K585,Skills[Action],Skills[Icon],"")</f>
        <v/>
      </c>
      <c r="N585" s="5" t="str">
        <f t="array" ref="N585">XLOOKUP(M585,Skills[Action],Skills[Icon],"")</f>
        <v/>
      </c>
      <c r="P585" s="5" t="str">
        <f t="array" ref="P585">XLOOKUP(O585,Skills[Action],Skills[Icon],"")</f>
        <v/>
      </c>
      <c r="R585" s="5" t="str">
        <f t="array" ref="R585">XLOOKUP(Q585,Skills[Action],Skills[Icon],"")</f>
        <v/>
      </c>
      <c r="T585" s="5" t="str">
        <f t="array" ref="T585">XLOOKUP(S585,Skills[Action],Skills[Icon],"")</f>
        <v/>
      </c>
      <c r="V585" s="5" t="str">
        <f t="array" ref="V585">XLOOKUP(U585,Skills[Action],Skills[Icon],"")</f>
        <v/>
      </c>
    </row>
    <row r="586">
      <c r="C586" s="7">
        <v>0.006759259259259259</v>
      </c>
      <c r="L586" s="5" t="str">
        <f t="array" ref="L586">XLOOKUP(K586,Skills[Action],Skills[Icon],"")</f>
        <v/>
      </c>
      <c r="N586" s="5" t="str">
        <f t="array" ref="N586">XLOOKUP(M586,Skills[Action],Skills[Icon],"")</f>
        <v/>
      </c>
      <c r="P586" s="5" t="str">
        <f t="array" ref="P586">XLOOKUP(O586,Skills[Action],Skills[Icon],"")</f>
        <v/>
      </c>
      <c r="R586" s="5" t="str">
        <f t="array" ref="R586">XLOOKUP(Q586,Skills[Action],Skills[Icon],"")</f>
        <v/>
      </c>
      <c r="T586" s="5" t="str">
        <f t="array" ref="T586">XLOOKUP(S586,Skills[Action],Skills[Icon],"")</f>
        <v/>
      </c>
      <c r="V586" s="5" t="str">
        <f t="array" ref="V586">XLOOKUP(U586,Skills[Action],Skills[Icon],"")</f>
        <v/>
      </c>
    </row>
    <row r="587">
      <c r="C587" s="7">
        <v>0.0067708333333333336</v>
      </c>
      <c r="L587" s="5" t="str">
        <f t="array" ref="L587">XLOOKUP(K587,Skills[Action],Skills[Icon],"")</f>
        <v/>
      </c>
      <c r="N587" s="5" t="str">
        <f t="array" ref="N587">XLOOKUP(M587,Skills[Action],Skills[Icon],"")</f>
        <v/>
      </c>
      <c r="P587" s="5" t="str">
        <f t="array" ref="P587">XLOOKUP(O587,Skills[Action],Skills[Icon],"")</f>
        <v/>
      </c>
      <c r="R587" s="5" t="str">
        <f t="array" ref="R587">XLOOKUP(Q587,Skills[Action],Skills[Icon],"")</f>
        <v/>
      </c>
      <c r="T587" s="5" t="str">
        <f t="array" ref="T587">XLOOKUP(S587,Skills[Action],Skills[Icon],"")</f>
        <v/>
      </c>
      <c r="V587" s="5" t="str">
        <f t="array" ref="V587">XLOOKUP(U587,Skills[Action],Skills[Icon],"")</f>
        <v/>
      </c>
    </row>
    <row r="588">
      <c r="C588" s="7">
        <v>0.006782407407407407</v>
      </c>
      <c r="L588" s="5" t="str">
        <f t="array" ref="L588">XLOOKUP(K588,Skills[Action],Skills[Icon],"")</f>
        <v/>
      </c>
      <c r="N588" s="5" t="str">
        <f t="array" ref="N588">XLOOKUP(M588,Skills[Action],Skills[Icon],"")</f>
        <v/>
      </c>
      <c r="P588" s="5" t="str">
        <f t="array" ref="P588">XLOOKUP(O588,Skills[Action],Skills[Icon],"")</f>
        <v/>
      </c>
      <c r="R588" s="5" t="str">
        <f t="array" ref="R588">XLOOKUP(Q588,Skills[Action],Skills[Icon],"")</f>
        <v/>
      </c>
      <c r="T588" s="5" t="str">
        <f t="array" ref="T588">XLOOKUP(S588,Skills[Action],Skills[Icon],"")</f>
        <v/>
      </c>
      <c r="V588" s="5" t="str">
        <f t="array" ref="V588">XLOOKUP(U588,Skills[Action],Skills[Icon],"")</f>
        <v/>
      </c>
    </row>
    <row r="589">
      <c r="C589" s="7">
        <v>0.006793981481481482</v>
      </c>
      <c r="L589" s="5" t="str">
        <f t="array" ref="L589">XLOOKUP(K589,Skills[Action],Skills[Icon],"")</f>
        <v/>
      </c>
      <c r="N589" s="5" t="str">
        <f t="array" ref="N589">XLOOKUP(M589,Skills[Action],Skills[Icon],"")</f>
        <v/>
      </c>
      <c r="P589" s="5" t="str">
        <f t="array" ref="P589">XLOOKUP(O589,Skills[Action],Skills[Icon],"")</f>
        <v/>
      </c>
      <c r="R589" s="5" t="str">
        <f t="array" ref="R589">XLOOKUP(Q589,Skills[Action],Skills[Icon],"")</f>
        <v/>
      </c>
      <c r="T589" s="5" t="str">
        <f t="array" ref="T589">XLOOKUP(S589,Skills[Action],Skills[Icon],"")</f>
        <v/>
      </c>
      <c r="V589" s="5" t="str">
        <f t="array" ref="V589">XLOOKUP(U589,Skills[Action],Skills[Icon],"")</f>
        <v/>
      </c>
    </row>
    <row r="590">
      <c r="C590" s="7">
        <v>0.006805555555555555</v>
      </c>
      <c r="L590" s="5" t="str">
        <f t="array" ref="L590">XLOOKUP(K590,Skills[Action],Skills[Icon],"")</f>
        <v/>
      </c>
      <c r="N590" s="5" t="str">
        <f t="array" ref="N590">XLOOKUP(M590,Skills[Action],Skills[Icon],"")</f>
        <v/>
      </c>
      <c r="P590" s="5" t="str">
        <f t="array" ref="P590">XLOOKUP(O590,Skills[Action],Skills[Icon],"")</f>
        <v/>
      </c>
      <c r="R590" s="5" t="str">
        <f t="array" ref="R590">XLOOKUP(Q590,Skills[Action],Skills[Icon],"")</f>
        <v/>
      </c>
      <c r="T590" s="5" t="str">
        <f t="array" ref="T590">XLOOKUP(S590,Skills[Action],Skills[Icon],"")</f>
        <v/>
      </c>
      <c r="V590" s="5" t="str">
        <f t="array" ref="V590">XLOOKUP(U590,Skills[Action],Skills[Icon],"")</f>
        <v/>
      </c>
    </row>
    <row r="591">
      <c r="C591" s="7">
        <v>0.00681712962962963</v>
      </c>
      <c r="L591" s="5" t="str">
        <f t="array" ref="L591">XLOOKUP(K591,Skills[Action],Skills[Icon],"")</f>
        <v/>
      </c>
      <c r="N591" s="5" t="str">
        <f t="array" ref="N591">XLOOKUP(M591,Skills[Action],Skills[Icon],"")</f>
        <v/>
      </c>
      <c r="P591" s="5" t="str">
        <f t="array" ref="P591">XLOOKUP(O591,Skills[Action],Skills[Icon],"")</f>
        <v/>
      </c>
      <c r="R591" s="5" t="str">
        <f t="array" ref="R591">XLOOKUP(Q591,Skills[Action],Skills[Icon],"")</f>
        <v/>
      </c>
      <c r="T591" s="5" t="str">
        <f t="array" ref="T591">XLOOKUP(S591,Skills[Action],Skills[Icon],"")</f>
        <v/>
      </c>
      <c r="V591" s="5" t="str">
        <f t="array" ref="V591">XLOOKUP(U591,Skills[Action],Skills[Icon],"")</f>
        <v/>
      </c>
    </row>
    <row r="592">
      <c r="C592" s="7">
        <v>0.006828703703703704</v>
      </c>
      <c r="L592" s="5" t="str">
        <f t="array" ref="L592">XLOOKUP(K592,Skills[Action],Skills[Icon],"")</f>
        <v/>
      </c>
      <c r="N592" s="5" t="str">
        <f t="array" ref="N592">XLOOKUP(M592,Skills[Action],Skills[Icon],"")</f>
        <v/>
      </c>
      <c r="P592" s="5" t="str">
        <f t="array" ref="P592">XLOOKUP(O592,Skills[Action],Skills[Icon],"")</f>
        <v/>
      </c>
      <c r="R592" s="5" t="str">
        <f t="array" ref="R592">XLOOKUP(Q592,Skills[Action],Skills[Icon],"")</f>
        <v/>
      </c>
      <c r="T592" s="5" t="str">
        <f t="array" ref="T592">XLOOKUP(S592,Skills[Action],Skills[Icon],"")</f>
        <v/>
      </c>
      <c r="V592" s="5" t="str">
        <f t="array" ref="V592">XLOOKUP(U592,Skills[Action],Skills[Icon],"")</f>
        <v/>
      </c>
    </row>
    <row r="593">
      <c r="C593" s="7">
        <v>0.006840277777777778</v>
      </c>
      <c r="L593" s="5" t="str">
        <f t="array" ref="L593">XLOOKUP(K593,Skills[Action],Skills[Icon],"")</f>
        <v/>
      </c>
      <c r="N593" s="5" t="str">
        <f t="array" ref="N593">XLOOKUP(M593,Skills[Action],Skills[Icon],"")</f>
        <v/>
      </c>
      <c r="P593" s="5" t="str">
        <f t="array" ref="P593">XLOOKUP(O593,Skills[Action],Skills[Icon],"")</f>
        <v/>
      </c>
      <c r="R593" s="5" t="str">
        <f t="array" ref="R593">XLOOKUP(Q593,Skills[Action],Skills[Icon],"")</f>
        <v/>
      </c>
      <c r="T593" s="5" t="str">
        <f t="array" ref="T593">XLOOKUP(S593,Skills[Action],Skills[Icon],"")</f>
        <v/>
      </c>
      <c r="V593" s="5" t="str">
        <f t="array" ref="V593">XLOOKUP(U593,Skills[Action],Skills[Icon],"")</f>
        <v/>
      </c>
    </row>
    <row r="594">
      <c r="C594" s="7">
        <v>0.006851851851851852</v>
      </c>
      <c r="L594" s="5" t="str">
        <f t="array" ref="L594">XLOOKUP(K594,Skills[Action],Skills[Icon],"")</f>
        <v/>
      </c>
      <c r="N594" s="5" t="str">
        <f t="array" ref="N594">XLOOKUP(M594,Skills[Action],Skills[Icon],"")</f>
        <v/>
      </c>
      <c r="P594" s="5" t="str">
        <f t="array" ref="P594">XLOOKUP(O594,Skills[Action],Skills[Icon],"")</f>
        <v/>
      </c>
      <c r="R594" s="5" t="str">
        <f t="array" ref="R594">XLOOKUP(Q594,Skills[Action],Skills[Icon],"")</f>
        <v/>
      </c>
      <c r="T594" s="5" t="str">
        <f t="array" ref="T594">XLOOKUP(S594,Skills[Action],Skills[Icon],"")</f>
        <v/>
      </c>
      <c r="V594" s="5" t="str">
        <f t="array" ref="V594">XLOOKUP(U594,Skills[Action],Skills[Icon],"")</f>
        <v/>
      </c>
    </row>
    <row r="595">
      <c r="C595" s="7">
        <v>0.006863425925925926</v>
      </c>
      <c r="L595" s="5" t="str">
        <f t="array" ref="L595">XLOOKUP(K595,Skills[Action],Skills[Icon],"")</f>
        <v/>
      </c>
      <c r="N595" s="5" t="str">
        <f t="array" ref="N595">XLOOKUP(M595,Skills[Action],Skills[Icon],"")</f>
        <v/>
      </c>
      <c r="P595" s="5" t="str">
        <f t="array" ref="P595">XLOOKUP(O595,Skills[Action],Skills[Icon],"")</f>
        <v/>
      </c>
      <c r="R595" s="5" t="str">
        <f t="array" ref="R595">XLOOKUP(Q595,Skills[Action],Skills[Icon],"")</f>
        <v/>
      </c>
      <c r="T595" s="5" t="str">
        <f t="array" ref="T595">XLOOKUP(S595,Skills[Action],Skills[Icon],"")</f>
        <v/>
      </c>
      <c r="V595" s="5" t="str">
        <f t="array" ref="V595">XLOOKUP(U595,Skills[Action],Skills[Icon],"")</f>
        <v/>
      </c>
    </row>
    <row r="596">
      <c r="C596" s="7">
        <v>0.006875</v>
      </c>
      <c r="L596" s="5" t="str">
        <f t="array" ref="L596">XLOOKUP(K596,Skills[Action],Skills[Icon],"")</f>
        <v/>
      </c>
      <c r="N596" s="5" t="str">
        <f t="array" ref="N596">XLOOKUP(M596,Skills[Action],Skills[Icon],"")</f>
        <v/>
      </c>
      <c r="P596" s="5" t="str">
        <f t="array" ref="P596">XLOOKUP(O596,Skills[Action],Skills[Icon],"")</f>
        <v/>
      </c>
      <c r="R596" s="5" t="str">
        <f t="array" ref="R596">XLOOKUP(Q596,Skills[Action],Skills[Icon],"")</f>
        <v/>
      </c>
      <c r="T596" s="5" t="str">
        <f t="array" ref="T596">XLOOKUP(S596,Skills[Action],Skills[Icon],"")</f>
        <v/>
      </c>
      <c r="V596" s="5" t="str">
        <f t="array" ref="V596">XLOOKUP(U596,Skills[Action],Skills[Icon],"")</f>
        <v/>
      </c>
    </row>
    <row r="597">
      <c r="C597" s="7">
        <v>0.0068865740740740745</v>
      </c>
      <c r="L597" s="5" t="str">
        <f t="array" ref="L597">XLOOKUP(K597,Skills[Action],Skills[Icon],"")</f>
        <v/>
      </c>
      <c r="N597" s="5" t="str">
        <f t="array" ref="N597">XLOOKUP(M597,Skills[Action],Skills[Icon],"")</f>
        <v/>
      </c>
      <c r="P597" s="5" t="str">
        <f t="array" ref="P597">XLOOKUP(O597,Skills[Action],Skills[Icon],"")</f>
        <v/>
      </c>
      <c r="R597" s="5" t="str">
        <f t="array" ref="R597">XLOOKUP(Q597,Skills[Action],Skills[Icon],"")</f>
        <v/>
      </c>
      <c r="T597" s="5" t="str">
        <f t="array" ref="T597">XLOOKUP(S597,Skills[Action],Skills[Icon],"")</f>
        <v/>
      </c>
      <c r="V597" s="5" t="str">
        <f t="array" ref="V597">XLOOKUP(U597,Skills[Action],Skills[Icon],"")</f>
        <v/>
      </c>
    </row>
    <row r="598">
      <c r="C598" s="7">
        <v>0.006898148148148148</v>
      </c>
      <c r="L598" s="5" t="str">
        <f t="array" ref="L598">XLOOKUP(K598,Skills[Action],Skills[Icon],"")</f>
        <v/>
      </c>
      <c r="N598" s="5" t="str">
        <f t="array" ref="N598">XLOOKUP(M598,Skills[Action],Skills[Icon],"")</f>
        <v/>
      </c>
      <c r="P598" s="5" t="str">
        <f t="array" ref="P598">XLOOKUP(O598,Skills[Action],Skills[Icon],"")</f>
        <v/>
      </c>
      <c r="R598" s="5" t="str">
        <f t="array" ref="R598">XLOOKUP(Q598,Skills[Action],Skills[Icon],"")</f>
        <v/>
      </c>
      <c r="T598" s="5" t="str">
        <f t="array" ref="T598">XLOOKUP(S598,Skills[Action],Skills[Icon],"")</f>
        <v/>
      </c>
      <c r="V598" s="5" t="str">
        <f t="array" ref="V598">XLOOKUP(U598,Skills[Action],Skills[Icon],"")</f>
        <v/>
      </c>
    </row>
    <row r="599">
      <c r="C599" s="7">
        <v>0.0069097222222222225</v>
      </c>
      <c r="L599" s="5" t="str">
        <f t="array" ref="L599">XLOOKUP(K599,Skills[Action],Skills[Icon],"")</f>
        <v/>
      </c>
      <c r="N599" s="5" t="str">
        <f t="array" ref="N599">XLOOKUP(M599,Skills[Action],Skills[Icon],"")</f>
        <v/>
      </c>
      <c r="P599" s="5" t="str">
        <f t="array" ref="P599">XLOOKUP(O599,Skills[Action],Skills[Icon],"")</f>
        <v/>
      </c>
      <c r="R599" s="5" t="str">
        <f t="array" ref="R599">XLOOKUP(Q599,Skills[Action],Skills[Icon],"")</f>
        <v/>
      </c>
      <c r="T599" s="5" t="str">
        <f t="array" ref="T599">XLOOKUP(S599,Skills[Action],Skills[Icon],"")</f>
        <v/>
      </c>
      <c r="V599" s="5" t="str">
        <f t="array" ref="V599">XLOOKUP(U599,Skills[Action],Skills[Icon],"")</f>
        <v/>
      </c>
    </row>
    <row r="600">
      <c r="C600" s="7">
        <v>0.006921296296296296</v>
      </c>
      <c r="L600" s="5" t="str">
        <f t="array" ref="L600">XLOOKUP(K600,Skills[Action],Skills[Icon],"")</f>
        <v/>
      </c>
      <c r="N600" s="5" t="str">
        <f t="array" ref="N600">XLOOKUP(M600,Skills[Action],Skills[Icon],"")</f>
        <v/>
      </c>
      <c r="P600" s="5" t="str">
        <f t="array" ref="P600">XLOOKUP(O600,Skills[Action],Skills[Icon],"")</f>
        <v/>
      </c>
      <c r="R600" s="5" t="str">
        <f t="array" ref="R600">XLOOKUP(Q600,Skills[Action],Skills[Icon],"")</f>
        <v/>
      </c>
      <c r="T600" s="5" t="str">
        <f t="array" ref="T600">XLOOKUP(S600,Skills[Action],Skills[Icon],"")</f>
        <v/>
      </c>
      <c r="V600" s="5" t="str">
        <f t="array" ref="V600">XLOOKUP(U600,Skills[Action],Skills[Icon],"")</f>
        <v/>
      </c>
    </row>
    <row r="601">
      <c r="C601" s="7">
        <v>0.0069328703703703705</v>
      </c>
      <c r="L601" s="5" t="str">
        <f t="array" ref="L601">XLOOKUP(K601,Skills[Action],Skills[Icon],"")</f>
        <v/>
      </c>
      <c r="N601" s="5" t="str">
        <f t="array" ref="N601">XLOOKUP(M601,Skills[Action],Skills[Icon],"")</f>
        <v/>
      </c>
      <c r="P601" s="5" t="str">
        <f t="array" ref="P601">XLOOKUP(O601,Skills[Action],Skills[Icon],"")</f>
        <v/>
      </c>
      <c r="R601" s="5" t="str">
        <f t="array" ref="R601">XLOOKUP(Q601,Skills[Action],Skills[Icon],"")</f>
        <v/>
      </c>
      <c r="T601" s="5" t="str">
        <f t="array" ref="T601">XLOOKUP(S601,Skills[Action],Skills[Icon],"")</f>
        <v/>
      </c>
      <c r="V601" s="5" t="str">
        <f t="array" ref="V601">XLOOKUP(U601,Skills[Action],Skills[Icon],"")</f>
        <v/>
      </c>
    </row>
    <row r="602">
      <c r="C602" s="7">
        <v>0.006944444444444444</v>
      </c>
      <c r="L602" s="5" t="str">
        <f t="array" ref="L602">XLOOKUP(K602,Skills[Action],Skills[Icon],"")</f>
        <v/>
      </c>
      <c r="N602" s="5" t="str">
        <f t="array" ref="N602">XLOOKUP(M602,Skills[Action],Skills[Icon],"")</f>
        <v/>
      </c>
      <c r="P602" s="5" t="str">
        <f t="array" ref="P602">XLOOKUP(O602,Skills[Action],Skills[Icon],"")</f>
        <v/>
      </c>
      <c r="R602" s="5" t="str">
        <f t="array" ref="R602">XLOOKUP(Q602,Skills[Action],Skills[Icon],"")</f>
        <v/>
      </c>
      <c r="T602" s="5" t="str">
        <f t="array" ref="T602">XLOOKUP(S602,Skills[Action],Skills[Icon],"")</f>
        <v/>
      </c>
      <c r="V602" s="5" t="str">
        <f t="array" ref="V602">XLOOKUP(U602,Skills[Action],Skills[Icon],"")</f>
        <v/>
      </c>
    </row>
    <row r="603">
      <c r="C603" s="7">
        <v>0.0069560185185185185</v>
      </c>
      <c r="L603" s="5" t="str">
        <f t="array" ref="L603">XLOOKUP(K603,Skills[Action],Skills[Icon],"")</f>
        <v/>
      </c>
      <c r="N603" s="5" t="str">
        <f t="array" ref="N603">XLOOKUP(M603,Skills[Action],Skills[Icon],"")</f>
        <v/>
      </c>
      <c r="P603" s="5" t="str">
        <f t="array" ref="P603">XLOOKUP(O603,Skills[Action],Skills[Icon],"")</f>
        <v/>
      </c>
      <c r="R603" s="5" t="str">
        <f t="array" ref="R603">XLOOKUP(Q603,Skills[Action],Skills[Icon],"")</f>
        <v/>
      </c>
      <c r="T603" s="5" t="str">
        <f t="array" ref="T603">XLOOKUP(S603,Skills[Action],Skills[Icon],"")</f>
        <v/>
      </c>
      <c r="V603" s="5" t="str">
        <f t="array" ref="V603">XLOOKUP(U603,Skills[Action],Skills[Icon],"")</f>
        <v/>
      </c>
    </row>
    <row r="604">
      <c r="C604" s="7">
        <v>0.006967592592592593</v>
      </c>
      <c r="L604" s="5" t="str">
        <f t="array" ref="L604">XLOOKUP(K604,Skills[Action],Skills[Icon],"")</f>
        <v/>
      </c>
      <c r="N604" s="5" t="str">
        <f t="array" ref="N604">XLOOKUP(M604,Skills[Action],Skills[Icon],"")</f>
        <v/>
      </c>
      <c r="P604" s="5" t="str">
        <f t="array" ref="P604">XLOOKUP(O604,Skills[Action],Skills[Icon],"")</f>
        <v/>
      </c>
      <c r="R604" s="5" t="str">
        <f t="array" ref="R604">XLOOKUP(Q604,Skills[Action],Skills[Icon],"")</f>
        <v/>
      </c>
      <c r="T604" s="5" t="str">
        <f t="array" ref="T604">XLOOKUP(S604,Skills[Action],Skills[Icon],"")</f>
        <v/>
      </c>
      <c r="V604" s="5" t="str">
        <f t="array" ref="V604">XLOOKUP(U604,Skills[Action],Skills[Icon],"")</f>
        <v/>
      </c>
    </row>
    <row r="605">
      <c r="C605" s="7">
        <v>0.0069791666666666665</v>
      </c>
      <c r="L605" s="5" t="str">
        <f t="array" ref="L605">XLOOKUP(K605,Skills[Action],Skills[Icon],"")</f>
        <v/>
      </c>
      <c r="N605" s="5" t="str">
        <f t="array" ref="N605">XLOOKUP(M605,Skills[Action],Skills[Icon],"")</f>
        <v/>
      </c>
      <c r="P605" s="5" t="str">
        <f t="array" ref="P605">XLOOKUP(O605,Skills[Action],Skills[Icon],"")</f>
        <v/>
      </c>
      <c r="R605" s="5" t="str">
        <f t="array" ref="R605">XLOOKUP(Q605,Skills[Action],Skills[Icon],"")</f>
        <v/>
      </c>
      <c r="T605" s="5" t="str">
        <f t="array" ref="T605">XLOOKUP(S605,Skills[Action],Skills[Icon],"")</f>
        <v/>
      </c>
      <c r="V605" s="5" t="str">
        <f t="array" ref="V605">XLOOKUP(U605,Skills[Action],Skills[Icon],"")</f>
        <v/>
      </c>
    </row>
    <row r="606">
      <c r="C606" s="7">
        <v>0.006990740740740741</v>
      </c>
      <c r="L606" s="5" t="str">
        <f t="array" ref="L606">XLOOKUP(K606,Skills[Action],Skills[Icon],"")</f>
        <v/>
      </c>
      <c r="N606" s="5" t="str">
        <f t="array" ref="N606">XLOOKUP(M606,Skills[Action],Skills[Icon],"")</f>
        <v/>
      </c>
      <c r="P606" s="5" t="str">
        <f t="array" ref="P606">XLOOKUP(O606,Skills[Action],Skills[Icon],"")</f>
        <v/>
      </c>
      <c r="R606" s="5" t="str">
        <f t="array" ref="R606">XLOOKUP(Q606,Skills[Action],Skills[Icon],"")</f>
        <v/>
      </c>
      <c r="T606" s="5" t="str">
        <f t="array" ref="T606">XLOOKUP(S606,Skills[Action],Skills[Icon],"")</f>
        <v/>
      </c>
      <c r="V606" s="5" t="str">
        <f t="array" ref="V606">XLOOKUP(U606,Skills[Action],Skills[Icon],"")</f>
        <v/>
      </c>
    </row>
    <row r="607">
      <c r="C607" s="7">
        <v>0.0070023148148148145</v>
      </c>
      <c r="L607" s="5" t="str">
        <f t="array" ref="L607">XLOOKUP(K607,Skills[Action],Skills[Icon],"")</f>
        <v/>
      </c>
      <c r="N607" s="5" t="str">
        <f t="array" ref="N607">XLOOKUP(M607,Skills[Action],Skills[Icon],"")</f>
        <v/>
      </c>
      <c r="P607" s="5" t="str">
        <f t="array" ref="P607">XLOOKUP(O607,Skills[Action],Skills[Icon],"")</f>
        <v/>
      </c>
      <c r="R607" s="5" t="str">
        <f t="array" ref="R607">XLOOKUP(Q607,Skills[Action],Skills[Icon],"")</f>
        <v/>
      </c>
      <c r="T607" s="5" t="str">
        <f t="array" ref="T607">XLOOKUP(S607,Skills[Action],Skills[Icon],"")</f>
        <v/>
      </c>
      <c r="V607" s="5" t="str">
        <f t="array" ref="V607">XLOOKUP(U607,Skills[Action],Skills[Icon],"")</f>
        <v/>
      </c>
    </row>
    <row r="608">
      <c r="C608" s="7">
        <v>0.007013888888888889</v>
      </c>
      <c r="L608" s="5" t="str">
        <f t="array" ref="L608">XLOOKUP(K608,Skills[Action],Skills[Icon],"")</f>
        <v/>
      </c>
      <c r="N608" s="5" t="str">
        <f t="array" ref="N608">XLOOKUP(M608,Skills[Action],Skills[Icon],"")</f>
        <v/>
      </c>
      <c r="P608" s="5" t="str">
        <f t="array" ref="P608">XLOOKUP(O608,Skills[Action],Skills[Icon],"")</f>
        <v/>
      </c>
      <c r="R608" s="5" t="str">
        <f t="array" ref="R608">XLOOKUP(Q608,Skills[Action],Skills[Icon],"")</f>
        <v/>
      </c>
      <c r="T608" s="5" t="str">
        <f t="array" ref="T608">XLOOKUP(S608,Skills[Action],Skills[Icon],"")</f>
        <v/>
      </c>
      <c r="V608" s="5" t="str">
        <f t="array" ref="V608">XLOOKUP(U608,Skills[Action],Skills[Icon],"")</f>
        <v/>
      </c>
    </row>
    <row r="609">
      <c r="C609" s="7">
        <v>0.007025462962962963</v>
      </c>
      <c r="L609" s="5" t="str">
        <f t="array" ref="L609">XLOOKUP(K609,Skills[Action],Skills[Icon],"")</f>
        <v/>
      </c>
      <c r="N609" s="5" t="str">
        <f t="array" ref="N609">XLOOKUP(M609,Skills[Action],Skills[Icon],"")</f>
        <v/>
      </c>
      <c r="P609" s="5" t="str">
        <f t="array" ref="P609">XLOOKUP(O609,Skills[Action],Skills[Icon],"")</f>
        <v/>
      </c>
      <c r="R609" s="5" t="str">
        <f t="array" ref="R609">XLOOKUP(Q609,Skills[Action],Skills[Icon],"")</f>
        <v/>
      </c>
      <c r="T609" s="5" t="str">
        <f t="array" ref="T609">XLOOKUP(S609,Skills[Action],Skills[Icon],"")</f>
        <v/>
      </c>
      <c r="V609" s="5" t="str">
        <f t="array" ref="V609">XLOOKUP(U609,Skills[Action],Skills[Icon],"")</f>
        <v/>
      </c>
    </row>
    <row r="610">
      <c r="C610" s="7">
        <v>0.007037037037037037</v>
      </c>
      <c r="L610" s="5" t="str">
        <f t="array" ref="L610">XLOOKUP(K610,Skills[Action],Skills[Icon],"")</f>
        <v/>
      </c>
      <c r="N610" s="5" t="str">
        <f t="array" ref="N610">XLOOKUP(M610,Skills[Action],Skills[Icon],"")</f>
        <v/>
      </c>
      <c r="P610" s="5" t="str">
        <f t="array" ref="P610">XLOOKUP(O610,Skills[Action],Skills[Icon],"")</f>
        <v/>
      </c>
      <c r="R610" s="5" t="str">
        <f t="array" ref="R610">XLOOKUP(Q610,Skills[Action],Skills[Icon],"")</f>
        <v/>
      </c>
      <c r="T610" s="5" t="str">
        <f t="array" ref="T610">XLOOKUP(S610,Skills[Action],Skills[Icon],"")</f>
        <v/>
      </c>
      <c r="V610" s="5" t="str">
        <f t="array" ref="V610">XLOOKUP(U610,Skills[Action],Skills[Icon],"")</f>
        <v/>
      </c>
    </row>
    <row r="611">
      <c r="C611" s="7">
        <v>0.007048611111111111</v>
      </c>
      <c r="L611" s="5" t="str">
        <f t="array" ref="L611">XLOOKUP(K611,Skills[Action],Skills[Icon],"")</f>
        <v/>
      </c>
      <c r="N611" s="5" t="str">
        <f t="array" ref="N611">XLOOKUP(M611,Skills[Action],Skills[Icon],"")</f>
        <v/>
      </c>
      <c r="P611" s="5" t="str">
        <f t="array" ref="P611">XLOOKUP(O611,Skills[Action],Skills[Icon],"")</f>
        <v/>
      </c>
      <c r="R611" s="5" t="str">
        <f t="array" ref="R611">XLOOKUP(Q611,Skills[Action],Skills[Icon],"")</f>
        <v/>
      </c>
      <c r="T611" s="5" t="str">
        <f t="array" ref="T611">XLOOKUP(S611,Skills[Action],Skills[Icon],"")</f>
        <v/>
      </c>
      <c r="V611" s="5" t="str">
        <f t="array" ref="V611">XLOOKUP(U611,Skills[Action],Skills[Icon],"")</f>
        <v/>
      </c>
    </row>
    <row r="612">
      <c r="C612" s="7">
        <v>0.007060185185185185</v>
      </c>
      <c r="L612" s="5" t="str">
        <f t="array" ref="L612">XLOOKUP(K612,Skills[Action],Skills[Icon],"")</f>
        <v/>
      </c>
      <c r="N612" s="5" t="str">
        <f t="array" ref="N612">XLOOKUP(M612,Skills[Action],Skills[Icon],"")</f>
        <v/>
      </c>
      <c r="P612" s="5" t="str">
        <f t="array" ref="P612">XLOOKUP(O612,Skills[Action],Skills[Icon],"")</f>
        <v/>
      </c>
      <c r="R612" s="5" t="str">
        <f t="array" ref="R612">XLOOKUP(Q612,Skills[Action],Skills[Icon],"")</f>
        <v/>
      </c>
      <c r="T612" s="5" t="str">
        <f t="array" ref="T612">XLOOKUP(S612,Skills[Action],Skills[Icon],"")</f>
        <v/>
      </c>
      <c r="V612" s="5" t="str">
        <f t="array" ref="V612">XLOOKUP(U612,Skills[Action],Skills[Icon],"")</f>
        <v/>
      </c>
    </row>
    <row r="613">
      <c r="C613" s="7">
        <v>0.007071759259259259</v>
      </c>
      <c r="L613" s="5" t="str">
        <f t="array" ref="L613">XLOOKUP(K613,Skills[Action],Skills[Icon],"")</f>
        <v/>
      </c>
      <c r="N613" s="5" t="str">
        <f t="array" ref="N613">XLOOKUP(M613,Skills[Action],Skills[Icon],"")</f>
        <v/>
      </c>
      <c r="P613" s="5" t="str">
        <f t="array" ref="P613">XLOOKUP(O613,Skills[Action],Skills[Icon],"")</f>
        <v/>
      </c>
      <c r="R613" s="5" t="str">
        <f t="array" ref="R613">XLOOKUP(Q613,Skills[Action],Skills[Icon],"")</f>
        <v/>
      </c>
      <c r="T613" s="5" t="str">
        <f t="array" ref="T613">XLOOKUP(S613,Skills[Action],Skills[Icon],"")</f>
        <v/>
      </c>
      <c r="V613" s="5" t="str">
        <f t="array" ref="V613">XLOOKUP(U613,Skills[Action],Skills[Icon],"")</f>
        <v/>
      </c>
    </row>
    <row r="614">
      <c r="C614" s="7">
        <v>0.007083333333333333</v>
      </c>
      <c r="L614" s="5" t="str">
        <f t="array" ref="L614">XLOOKUP(K614,Skills[Action],Skills[Icon],"")</f>
        <v/>
      </c>
      <c r="N614" s="5" t="str">
        <f t="array" ref="N614">XLOOKUP(M614,Skills[Action],Skills[Icon],"")</f>
        <v/>
      </c>
      <c r="P614" s="5" t="str">
        <f t="array" ref="P614">XLOOKUP(O614,Skills[Action],Skills[Icon],"")</f>
        <v/>
      </c>
      <c r="R614" s="5" t="str">
        <f t="array" ref="R614">XLOOKUP(Q614,Skills[Action],Skills[Icon],"")</f>
        <v/>
      </c>
      <c r="T614" s="5" t="str">
        <f t="array" ref="T614">XLOOKUP(S614,Skills[Action],Skills[Icon],"")</f>
        <v/>
      </c>
      <c r="V614" s="5" t="str">
        <f t="array" ref="V614">XLOOKUP(U614,Skills[Action],Skills[Icon],"")</f>
        <v/>
      </c>
    </row>
    <row r="615">
      <c r="C615" s="7">
        <v>0.007094907407407407</v>
      </c>
      <c r="L615" s="5" t="str">
        <f t="array" ref="L615">XLOOKUP(K615,Skills[Action],Skills[Icon],"")</f>
        <v/>
      </c>
      <c r="N615" s="5" t="str">
        <f t="array" ref="N615">XLOOKUP(M615,Skills[Action],Skills[Icon],"")</f>
        <v/>
      </c>
      <c r="P615" s="5" t="str">
        <f t="array" ref="P615">XLOOKUP(O615,Skills[Action],Skills[Icon],"")</f>
        <v/>
      </c>
      <c r="R615" s="5" t="str">
        <f t="array" ref="R615">XLOOKUP(Q615,Skills[Action],Skills[Icon],"")</f>
        <v/>
      </c>
      <c r="T615" s="5" t="str">
        <f t="array" ref="T615">XLOOKUP(S615,Skills[Action],Skills[Icon],"")</f>
        <v/>
      </c>
      <c r="V615" s="5" t="str">
        <f t="array" ref="V615">XLOOKUP(U615,Skills[Action],Skills[Icon],"")</f>
        <v/>
      </c>
    </row>
    <row r="616">
      <c r="C616" s="7">
        <v>0.007106481481481482</v>
      </c>
      <c r="L616" s="5" t="str">
        <f t="array" ref="L616">XLOOKUP(K616,Skills[Action],Skills[Icon],"")</f>
        <v/>
      </c>
      <c r="N616" s="5" t="str">
        <f t="array" ref="N616">XLOOKUP(M616,Skills[Action],Skills[Icon],"")</f>
        <v/>
      </c>
      <c r="P616" s="5" t="str">
        <f t="array" ref="P616">XLOOKUP(O616,Skills[Action],Skills[Icon],"")</f>
        <v/>
      </c>
      <c r="R616" s="5" t="str">
        <f t="array" ref="R616">XLOOKUP(Q616,Skills[Action],Skills[Icon],"")</f>
        <v/>
      </c>
      <c r="T616" s="5" t="str">
        <f t="array" ref="T616">XLOOKUP(S616,Skills[Action],Skills[Icon],"")</f>
        <v/>
      </c>
      <c r="V616" s="5" t="str">
        <f t="array" ref="V616">XLOOKUP(U616,Skills[Action],Skills[Icon],"")</f>
        <v/>
      </c>
    </row>
    <row r="617">
      <c r="C617" s="7">
        <v>0.007118055555555555</v>
      </c>
      <c r="L617" s="5" t="str">
        <f t="array" ref="L617">XLOOKUP(K617,Skills[Action],Skills[Icon],"")</f>
        <v/>
      </c>
      <c r="N617" s="5" t="str">
        <f t="array" ref="N617">XLOOKUP(M617,Skills[Action],Skills[Icon],"")</f>
        <v/>
      </c>
      <c r="P617" s="5" t="str">
        <f t="array" ref="P617">XLOOKUP(O617,Skills[Action],Skills[Icon],"")</f>
        <v/>
      </c>
      <c r="R617" s="5" t="str">
        <f t="array" ref="R617">XLOOKUP(Q617,Skills[Action],Skills[Icon],"")</f>
        <v/>
      </c>
      <c r="T617" s="5" t="str">
        <f t="array" ref="T617">XLOOKUP(S617,Skills[Action],Skills[Icon],"")</f>
        <v/>
      </c>
      <c r="V617" s="5" t="str">
        <f t="array" ref="V617">XLOOKUP(U617,Skills[Action],Skills[Icon],"")</f>
        <v/>
      </c>
    </row>
    <row r="618">
      <c r="C618" s="7">
        <v>0.00712962962962963</v>
      </c>
      <c r="L618" s="5" t="str">
        <f t="array" ref="L618">XLOOKUP(K618,Skills[Action],Skills[Icon],"")</f>
        <v/>
      </c>
      <c r="N618" s="5" t="str">
        <f t="array" ref="N618">XLOOKUP(M618,Skills[Action],Skills[Icon],"")</f>
        <v/>
      </c>
      <c r="P618" s="5" t="str">
        <f t="array" ref="P618">XLOOKUP(O618,Skills[Action],Skills[Icon],"")</f>
        <v/>
      </c>
      <c r="R618" s="5" t="str">
        <f t="array" ref="R618">XLOOKUP(Q618,Skills[Action],Skills[Icon],"")</f>
        <v/>
      </c>
      <c r="T618" s="5" t="str">
        <f t="array" ref="T618">XLOOKUP(S618,Skills[Action],Skills[Icon],"")</f>
        <v/>
      </c>
      <c r="V618" s="5" t="str">
        <f t="array" ref="V618">XLOOKUP(U618,Skills[Action],Skills[Icon],"")</f>
        <v/>
      </c>
    </row>
    <row r="619">
      <c r="C619" s="7">
        <v>0.007141203703703703</v>
      </c>
      <c r="L619" s="5" t="str">
        <f t="array" ref="L619">XLOOKUP(K619,Skills[Action],Skills[Icon],"")</f>
        <v/>
      </c>
      <c r="N619" s="5" t="str">
        <f t="array" ref="N619">XLOOKUP(M619,Skills[Action],Skills[Icon],"")</f>
        <v/>
      </c>
      <c r="P619" s="5" t="str">
        <f t="array" ref="P619">XLOOKUP(O619,Skills[Action],Skills[Icon],"")</f>
        <v/>
      </c>
      <c r="R619" s="5" t="str">
        <f t="array" ref="R619">XLOOKUP(Q619,Skills[Action],Skills[Icon],"")</f>
        <v/>
      </c>
      <c r="T619" s="5" t="str">
        <f t="array" ref="T619">XLOOKUP(S619,Skills[Action],Skills[Icon],"")</f>
        <v/>
      </c>
      <c r="V619" s="5" t="str">
        <f t="array" ref="V619">XLOOKUP(U619,Skills[Action],Skills[Icon],"")</f>
        <v/>
      </c>
    </row>
    <row r="620">
      <c r="C620" s="7">
        <v>0.007152777777777778</v>
      </c>
      <c r="L620" s="5" t="str">
        <f t="array" ref="L620">XLOOKUP(K620,Skills[Action],Skills[Icon],"")</f>
        <v/>
      </c>
      <c r="N620" s="5" t="str">
        <f t="array" ref="N620">XLOOKUP(M620,Skills[Action],Skills[Icon],"")</f>
        <v/>
      </c>
      <c r="P620" s="5" t="str">
        <f t="array" ref="P620">XLOOKUP(O620,Skills[Action],Skills[Icon],"")</f>
        <v/>
      </c>
      <c r="R620" s="5" t="str">
        <f t="array" ref="R620">XLOOKUP(Q620,Skills[Action],Skills[Icon],"")</f>
        <v/>
      </c>
      <c r="T620" s="5" t="str">
        <f t="array" ref="T620">XLOOKUP(S620,Skills[Action],Skills[Icon],"")</f>
        <v/>
      </c>
      <c r="V620" s="5" t="str">
        <f t="array" ref="V620">XLOOKUP(U620,Skills[Action],Skills[Icon],"")</f>
        <v/>
      </c>
    </row>
    <row r="621">
      <c r="C621" s="7">
        <v>0.0071643518518518514</v>
      </c>
      <c r="L621" s="5" t="str">
        <f t="array" ref="L621">XLOOKUP(K621,Skills[Action],Skills[Icon],"")</f>
        <v/>
      </c>
      <c r="N621" s="5" t="str">
        <f t="array" ref="N621">XLOOKUP(M621,Skills[Action],Skills[Icon],"")</f>
        <v/>
      </c>
      <c r="P621" s="5" t="str">
        <f t="array" ref="P621">XLOOKUP(O621,Skills[Action],Skills[Icon],"")</f>
        <v/>
      </c>
      <c r="R621" s="5" t="str">
        <f t="array" ref="R621">XLOOKUP(Q621,Skills[Action],Skills[Icon],"")</f>
        <v/>
      </c>
      <c r="T621" s="5" t="str">
        <f t="array" ref="T621">XLOOKUP(S621,Skills[Action],Skills[Icon],"")</f>
        <v/>
      </c>
      <c r="V621" s="5" t="str">
        <f t="array" ref="V621">XLOOKUP(U621,Skills[Action],Skills[Icon],"")</f>
        <v/>
      </c>
    </row>
    <row r="622">
      <c r="C622" s="7">
        <v>0.007175925925925926</v>
      </c>
      <c r="L622" s="5" t="str">
        <f t="array" ref="L622">XLOOKUP(K622,Skills[Action],Skills[Icon],"")</f>
        <v/>
      </c>
      <c r="N622" s="5" t="str">
        <f t="array" ref="N622">XLOOKUP(M622,Skills[Action],Skills[Icon],"")</f>
        <v/>
      </c>
      <c r="P622" s="5" t="str">
        <f t="array" ref="P622">XLOOKUP(O622,Skills[Action],Skills[Icon],"")</f>
        <v/>
      </c>
      <c r="R622" s="5" t="str">
        <f t="array" ref="R622">XLOOKUP(Q622,Skills[Action],Skills[Icon],"")</f>
        <v/>
      </c>
      <c r="T622" s="5" t="str">
        <f t="array" ref="T622">XLOOKUP(S622,Skills[Action],Skills[Icon],"")</f>
        <v/>
      </c>
      <c r="V622" s="5" t="str">
        <f t="array" ref="V622">XLOOKUP(U622,Skills[Action],Skills[Icon],"")</f>
        <v/>
      </c>
    </row>
    <row r="623">
      <c r="C623" s="7">
        <v>0.0071875</v>
      </c>
      <c r="L623" s="5" t="str">
        <f t="array" ref="L623">XLOOKUP(K623,Skills[Action],Skills[Icon],"")</f>
        <v/>
      </c>
      <c r="N623" s="5" t="str">
        <f t="array" ref="N623">XLOOKUP(M623,Skills[Action],Skills[Icon],"")</f>
        <v/>
      </c>
      <c r="P623" s="5" t="str">
        <f t="array" ref="P623">XLOOKUP(O623,Skills[Action],Skills[Icon],"")</f>
        <v/>
      </c>
      <c r="R623" s="5" t="str">
        <f t="array" ref="R623">XLOOKUP(Q623,Skills[Action],Skills[Icon],"")</f>
        <v/>
      </c>
      <c r="T623" s="5" t="str">
        <f t="array" ref="T623">XLOOKUP(S623,Skills[Action],Skills[Icon],"")</f>
        <v/>
      </c>
      <c r="V623" s="5" t="str">
        <f t="array" ref="V623">XLOOKUP(U623,Skills[Action],Skills[Icon],"")</f>
        <v/>
      </c>
    </row>
    <row r="624">
      <c r="C624" s="7">
        <v>0.007199074074074074</v>
      </c>
      <c r="L624" s="5" t="str">
        <f t="array" ref="L624">XLOOKUP(K624,Skills[Action],Skills[Icon],"")</f>
        <v/>
      </c>
      <c r="N624" s="5" t="str">
        <f t="array" ref="N624">XLOOKUP(M624,Skills[Action],Skills[Icon],"")</f>
        <v/>
      </c>
      <c r="P624" s="5" t="str">
        <f t="array" ref="P624">XLOOKUP(O624,Skills[Action],Skills[Icon],"")</f>
        <v/>
      </c>
      <c r="R624" s="5" t="str">
        <f t="array" ref="R624">XLOOKUP(Q624,Skills[Action],Skills[Icon],"")</f>
        <v/>
      </c>
      <c r="T624" s="5" t="str">
        <f t="array" ref="T624">XLOOKUP(S624,Skills[Action],Skills[Icon],"")</f>
        <v/>
      </c>
      <c r="V624" s="5" t="str">
        <f t="array" ref="V624">XLOOKUP(U624,Skills[Action],Skills[Icon],"")</f>
        <v/>
      </c>
    </row>
    <row r="625">
      <c r="C625" s="7">
        <v>0.007210648148148148</v>
      </c>
      <c r="L625" s="5" t="str">
        <f t="array" ref="L625">XLOOKUP(K625,Skills[Action],Skills[Icon],"")</f>
        <v/>
      </c>
      <c r="N625" s="5" t="str">
        <f t="array" ref="N625">XLOOKUP(M625,Skills[Action],Skills[Icon],"")</f>
        <v/>
      </c>
      <c r="P625" s="5" t="str">
        <f t="array" ref="P625">XLOOKUP(O625,Skills[Action],Skills[Icon],"")</f>
        <v/>
      </c>
      <c r="R625" s="5" t="str">
        <f t="array" ref="R625">XLOOKUP(Q625,Skills[Action],Skills[Icon],"")</f>
        <v/>
      </c>
      <c r="T625" s="5" t="str">
        <f t="array" ref="T625">XLOOKUP(S625,Skills[Action],Skills[Icon],"")</f>
        <v/>
      </c>
      <c r="V625" s="5" t="str">
        <f t="array" ref="V625">XLOOKUP(U625,Skills[Action],Skills[Icon],"")</f>
        <v/>
      </c>
    </row>
    <row r="626">
      <c r="C626" s="7">
        <v>0.007222222222222222</v>
      </c>
      <c r="L626" s="5" t="str">
        <f t="array" ref="L626">XLOOKUP(K626,Skills[Action],Skills[Icon],"")</f>
        <v/>
      </c>
      <c r="N626" s="5" t="str">
        <f t="array" ref="N626">XLOOKUP(M626,Skills[Action],Skills[Icon],"")</f>
        <v/>
      </c>
      <c r="P626" s="5" t="str">
        <f t="array" ref="P626">XLOOKUP(O626,Skills[Action],Skills[Icon],"")</f>
        <v/>
      </c>
      <c r="R626" s="5" t="str">
        <f t="array" ref="R626">XLOOKUP(Q626,Skills[Action],Skills[Icon],"")</f>
        <v/>
      </c>
      <c r="T626" s="5" t="str">
        <f t="array" ref="T626">XLOOKUP(S626,Skills[Action],Skills[Icon],"")</f>
        <v/>
      </c>
      <c r="V626" s="5" t="str">
        <f t="array" ref="V626">XLOOKUP(U626,Skills[Action],Skills[Icon],"")</f>
        <v/>
      </c>
    </row>
    <row r="627">
      <c r="C627" s="7">
        <v>0.007233796296296296</v>
      </c>
      <c r="L627" s="5" t="str">
        <f t="array" ref="L627">XLOOKUP(K627,Skills[Action],Skills[Icon],"")</f>
        <v/>
      </c>
      <c r="N627" s="5" t="str">
        <f t="array" ref="N627">XLOOKUP(M627,Skills[Action],Skills[Icon],"")</f>
        <v/>
      </c>
      <c r="P627" s="5" t="str">
        <f t="array" ref="P627">XLOOKUP(O627,Skills[Action],Skills[Icon],"")</f>
        <v/>
      </c>
      <c r="R627" s="5" t="str">
        <f t="array" ref="R627">XLOOKUP(Q627,Skills[Action],Skills[Icon],"")</f>
        <v/>
      </c>
      <c r="T627" s="5" t="str">
        <f t="array" ref="T627">XLOOKUP(S627,Skills[Action],Skills[Icon],"")</f>
        <v/>
      </c>
      <c r="V627" s="5" t="str">
        <f t="array" ref="V627">XLOOKUP(U627,Skills[Action],Skills[Icon],"")</f>
        <v/>
      </c>
    </row>
    <row r="628">
      <c r="C628" s="7">
        <v>0.007245370370370371</v>
      </c>
      <c r="L628" s="5" t="str">
        <f t="array" ref="L628">XLOOKUP(K628,Skills[Action],Skills[Icon],"")</f>
        <v/>
      </c>
      <c r="N628" s="5" t="str">
        <f t="array" ref="N628">XLOOKUP(M628,Skills[Action],Skills[Icon],"")</f>
        <v/>
      </c>
      <c r="P628" s="5" t="str">
        <f t="array" ref="P628">XLOOKUP(O628,Skills[Action],Skills[Icon],"")</f>
        <v/>
      </c>
      <c r="R628" s="5" t="str">
        <f t="array" ref="R628">XLOOKUP(Q628,Skills[Action],Skills[Icon],"")</f>
        <v/>
      </c>
      <c r="T628" s="5" t="str">
        <f t="array" ref="T628">XLOOKUP(S628,Skills[Action],Skills[Icon],"")</f>
        <v/>
      </c>
      <c r="V628" s="5" t="str">
        <f t="array" ref="V628">XLOOKUP(U628,Skills[Action],Skills[Icon],"")</f>
        <v/>
      </c>
    </row>
    <row r="629">
      <c r="C629" s="7">
        <v>0.007256944444444444</v>
      </c>
      <c r="L629" s="5" t="str">
        <f t="array" ref="L629">XLOOKUP(K629,Skills[Action],Skills[Icon],"")</f>
        <v/>
      </c>
      <c r="N629" s="5" t="str">
        <f t="array" ref="N629">XLOOKUP(M629,Skills[Action],Skills[Icon],"")</f>
        <v/>
      </c>
      <c r="P629" s="5" t="str">
        <f t="array" ref="P629">XLOOKUP(O629,Skills[Action],Skills[Icon],"")</f>
        <v/>
      </c>
      <c r="R629" s="5" t="str">
        <f t="array" ref="R629">XLOOKUP(Q629,Skills[Action],Skills[Icon],"")</f>
        <v/>
      </c>
      <c r="T629" s="5" t="str">
        <f t="array" ref="T629">XLOOKUP(S629,Skills[Action],Skills[Icon],"")</f>
        <v/>
      </c>
      <c r="V629" s="5" t="str">
        <f t="array" ref="V629">XLOOKUP(U629,Skills[Action],Skills[Icon],"")</f>
        <v/>
      </c>
    </row>
    <row r="630">
      <c r="C630" s="7">
        <v>0.007268518518518519</v>
      </c>
      <c r="L630" s="5" t="str">
        <f t="array" ref="L630">XLOOKUP(K630,Skills[Action],Skills[Icon],"")</f>
        <v/>
      </c>
      <c r="N630" s="5" t="str">
        <f t="array" ref="N630">XLOOKUP(M630,Skills[Action],Skills[Icon],"")</f>
        <v/>
      </c>
      <c r="P630" s="5" t="str">
        <f t="array" ref="P630">XLOOKUP(O630,Skills[Action],Skills[Icon],"")</f>
        <v/>
      </c>
      <c r="R630" s="5" t="str">
        <f t="array" ref="R630">XLOOKUP(Q630,Skills[Action],Skills[Icon],"")</f>
        <v/>
      </c>
      <c r="T630" s="5" t="str">
        <f t="array" ref="T630">XLOOKUP(S630,Skills[Action],Skills[Icon],"")</f>
        <v/>
      </c>
      <c r="V630" s="5" t="str">
        <f t="array" ref="V630">XLOOKUP(U630,Skills[Action],Skills[Icon],"")</f>
        <v/>
      </c>
    </row>
    <row r="631">
      <c r="C631" s="7">
        <v>0.007280092592592592</v>
      </c>
      <c r="L631" s="5" t="str">
        <f t="array" ref="L631">XLOOKUP(K631,Skills[Action],Skills[Icon],"")</f>
        <v/>
      </c>
      <c r="N631" s="5" t="str">
        <f t="array" ref="N631">XLOOKUP(M631,Skills[Action],Skills[Icon],"")</f>
        <v/>
      </c>
      <c r="P631" s="5" t="str">
        <f t="array" ref="P631">XLOOKUP(O631,Skills[Action],Skills[Icon],"")</f>
        <v/>
      </c>
      <c r="R631" s="5" t="str">
        <f t="array" ref="R631">XLOOKUP(Q631,Skills[Action],Skills[Icon],"")</f>
        <v/>
      </c>
      <c r="T631" s="5" t="str">
        <f t="array" ref="T631">XLOOKUP(S631,Skills[Action],Skills[Icon],"")</f>
        <v/>
      </c>
      <c r="V631" s="5" t="str">
        <f t="array" ref="V631">XLOOKUP(U631,Skills[Action],Skills[Icon],"")</f>
        <v/>
      </c>
    </row>
    <row r="632">
      <c r="C632" s="7">
        <v>0.007291666666666667</v>
      </c>
      <c r="L632" s="5" t="str">
        <f t="array" ref="L632">XLOOKUP(K632,Skills[Action],Skills[Icon],"")</f>
        <v/>
      </c>
      <c r="N632" s="5" t="str">
        <f t="array" ref="N632">XLOOKUP(M632,Skills[Action],Skills[Icon],"")</f>
        <v/>
      </c>
      <c r="P632" s="5" t="str">
        <f t="array" ref="P632">XLOOKUP(O632,Skills[Action],Skills[Icon],"")</f>
        <v/>
      </c>
      <c r="R632" s="5" t="str">
        <f t="array" ref="R632">XLOOKUP(Q632,Skills[Action],Skills[Icon],"")</f>
        <v/>
      </c>
      <c r="T632" s="5" t="str">
        <f t="array" ref="T632">XLOOKUP(S632,Skills[Action],Skills[Icon],"")</f>
        <v/>
      </c>
      <c r="V632" s="5" t="str">
        <f t="array" ref="V632">XLOOKUP(U632,Skills[Action],Skills[Icon],"")</f>
        <v/>
      </c>
    </row>
    <row r="633">
      <c r="C633" s="7">
        <v>0.00730324074074074</v>
      </c>
      <c r="L633" s="5" t="str">
        <f t="array" ref="L633">XLOOKUP(K633,Skills[Action],Skills[Icon],"")</f>
        <v/>
      </c>
      <c r="N633" s="5" t="str">
        <f t="array" ref="N633">XLOOKUP(M633,Skills[Action],Skills[Icon],"")</f>
        <v/>
      </c>
      <c r="P633" s="5" t="str">
        <f t="array" ref="P633">XLOOKUP(O633,Skills[Action],Skills[Icon],"")</f>
        <v/>
      </c>
      <c r="R633" s="5" t="str">
        <f t="array" ref="R633">XLOOKUP(Q633,Skills[Action],Skills[Icon],"")</f>
        <v/>
      </c>
      <c r="T633" s="5" t="str">
        <f t="array" ref="T633">XLOOKUP(S633,Skills[Action],Skills[Icon],"")</f>
        <v/>
      </c>
      <c r="V633" s="5" t="str">
        <f t="array" ref="V633">XLOOKUP(U633,Skills[Action],Skills[Icon],"")</f>
        <v/>
      </c>
    </row>
    <row r="634">
      <c r="C634" s="7">
        <v>0.007314814814814815</v>
      </c>
      <c r="L634" s="5" t="str">
        <f t="array" ref="L634">XLOOKUP(K634,Skills[Action],Skills[Icon],"")</f>
        <v/>
      </c>
      <c r="N634" s="5" t="str">
        <f t="array" ref="N634">XLOOKUP(M634,Skills[Action],Skills[Icon],"")</f>
        <v/>
      </c>
      <c r="P634" s="5" t="str">
        <f t="array" ref="P634">XLOOKUP(O634,Skills[Action],Skills[Icon],"")</f>
        <v/>
      </c>
      <c r="R634" s="5" t="str">
        <f t="array" ref="R634">XLOOKUP(Q634,Skills[Action],Skills[Icon],"")</f>
        <v/>
      </c>
      <c r="T634" s="5" t="str">
        <f t="array" ref="T634">XLOOKUP(S634,Skills[Action],Skills[Icon],"")</f>
        <v/>
      </c>
      <c r="V634" s="5" t="str">
        <f t="array" ref="V634">XLOOKUP(U634,Skills[Action],Skills[Icon],"")</f>
        <v/>
      </c>
    </row>
    <row r="635">
      <c r="C635" s="7">
        <v>0.007326388888888889</v>
      </c>
      <c r="L635" s="5" t="str">
        <f t="array" ref="L635">XLOOKUP(K635,Skills[Action],Skills[Icon],"")</f>
        <v/>
      </c>
      <c r="N635" s="5" t="str">
        <f t="array" ref="N635">XLOOKUP(M635,Skills[Action],Skills[Icon],"")</f>
        <v/>
      </c>
      <c r="P635" s="5" t="str">
        <f t="array" ref="P635">XLOOKUP(O635,Skills[Action],Skills[Icon],"")</f>
        <v/>
      </c>
      <c r="R635" s="5" t="str">
        <f t="array" ref="R635">XLOOKUP(Q635,Skills[Action],Skills[Icon],"")</f>
        <v/>
      </c>
      <c r="T635" s="5" t="str">
        <f t="array" ref="T635">XLOOKUP(S635,Skills[Action],Skills[Icon],"")</f>
        <v/>
      </c>
      <c r="V635" s="5" t="str">
        <f t="array" ref="V635">XLOOKUP(U635,Skills[Action],Skills[Icon],"")</f>
        <v/>
      </c>
    </row>
    <row r="636">
      <c r="C636" s="7">
        <v>0.007337962962962963</v>
      </c>
      <c r="L636" s="5" t="str">
        <f t="array" ref="L636">XLOOKUP(K636,Skills[Action],Skills[Icon],"")</f>
        <v/>
      </c>
      <c r="N636" s="5" t="str">
        <f t="array" ref="N636">XLOOKUP(M636,Skills[Action],Skills[Icon],"")</f>
        <v/>
      </c>
      <c r="P636" s="5" t="str">
        <f t="array" ref="P636">XLOOKUP(O636,Skills[Action],Skills[Icon],"")</f>
        <v/>
      </c>
      <c r="R636" s="5" t="str">
        <f t="array" ref="R636">XLOOKUP(Q636,Skills[Action],Skills[Icon],"")</f>
        <v/>
      </c>
      <c r="T636" s="5" t="str">
        <f t="array" ref="T636">XLOOKUP(S636,Skills[Action],Skills[Icon],"")</f>
        <v/>
      </c>
      <c r="V636" s="5" t="str">
        <f t="array" ref="V636">XLOOKUP(U636,Skills[Action],Skills[Icon],"")</f>
        <v/>
      </c>
    </row>
    <row r="637">
      <c r="C637" s="7">
        <v>0.007349537037037037</v>
      </c>
      <c r="L637" s="5" t="str">
        <f t="array" ref="L637">XLOOKUP(K637,Skills[Action],Skills[Icon],"")</f>
        <v/>
      </c>
      <c r="N637" s="5" t="str">
        <f t="array" ref="N637">XLOOKUP(M637,Skills[Action],Skills[Icon],"")</f>
        <v/>
      </c>
      <c r="P637" s="5" t="str">
        <f t="array" ref="P637">XLOOKUP(O637,Skills[Action],Skills[Icon],"")</f>
        <v/>
      </c>
      <c r="R637" s="5" t="str">
        <f t="array" ref="R637">XLOOKUP(Q637,Skills[Action],Skills[Icon],"")</f>
        <v/>
      </c>
      <c r="T637" s="5" t="str">
        <f t="array" ref="T637">XLOOKUP(S637,Skills[Action],Skills[Icon],"")</f>
        <v/>
      </c>
      <c r="V637" s="5" t="str">
        <f t="array" ref="V637">XLOOKUP(U637,Skills[Action],Skills[Icon],"")</f>
        <v/>
      </c>
    </row>
    <row r="638">
      <c r="C638" s="7">
        <v>0.007361111111111111</v>
      </c>
      <c r="L638" s="5" t="str">
        <f t="array" ref="L638">XLOOKUP(K638,Skills[Action],Skills[Icon],"")</f>
        <v/>
      </c>
      <c r="N638" s="5" t="str">
        <f t="array" ref="N638">XLOOKUP(M638,Skills[Action],Skills[Icon],"")</f>
        <v/>
      </c>
      <c r="P638" s="5" t="str">
        <f t="array" ref="P638">XLOOKUP(O638,Skills[Action],Skills[Icon],"")</f>
        <v/>
      </c>
      <c r="R638" s="5" t="str">
        <f t="array" ref="R638">XLOOKUP(Q638,Skills[Action],Skills[Icon],"")</f>
        <v/>
      </c>
      <c r="T638" s="5" t="str">
        <f t="array" ref="T638">XLOOKUP(S638,Skills[Action],Skills[Icon],"")</f>
        <v/>
      </c>
      <c r="V638" s="5" t="str">
        <f t="array" ref="V638">XLOOKUP(U638,Skills[Action],Skills[Icon],"")</f>
        <v/>
      </c>
    </row>
    <row r="639">
      <c r="C639" s="7">
        <v>0.007372685185185185</v>
      </c>
      <c r="L639" s="5" t="str">
        <f t="array" ref="L639">XLOOKUP(K639,Skills[Action],Skills[Icon],"")</f>
        <v/>
      </c>
      <c r="N639" s="5" t="str">
        <f t="array" ref="N639">XLOOKUP(M639,Skills[Action],Skills[Icon],"")</f>
        <v/>
      </c>
      <c r="P639" s="5" t="str">
        <f t="array" ref="P639">XLOOKUP(O639,Skills[Action],Skills[Icon],"")</f>
        <v/>
      </c>
      <c r="R639" s="5" t="str">
        <f t="array" ref="R639">XLOOKUP(Q639,Skills[Action],Skills[Icon],"")</f>
        <v/>
      </c>
      <c r="T639" s="5" t="str">
        <f t="array" ref="T639">XLOOKUP(S639,Skills[Action],Skills[Icon],"")</f>
        <v/>
      </c>
      <c r="V639" s="5" t="str">
        <f t="array" ref="V639">XLOOKUP(U639,Skills[Action],Skills[Icon],"")</f>
        <v/>
      </c>
    </row>
    <row r="640">
      <c r="C640" s="7">
        <v>0.00738425925925926</v>
      </c>
      <c r="L640" s="5" t="str">
        <f t="array" ref="L640">XLOOKUP(K640,Skills[Action],Skills[Icon],"")</f>
        <v/>
      </c>
      <c r="N640" s="5" t="str">
        <f t="array" ref="N640">XLOOKUP(M640,Skills[Action],Skills[Icon],"")</f>
        <v/>
      </c>
      <c r="P640" s="5" t="str">
        <f t="array" ref="P640">XLOOKUP(O640,Skills[Action],Skills[Icon],"")</f>
        <v/>
      </c>
      <c r="R640" s="5" t="str">
        <f t="array" ref="R640">XLOOKUP(Q640,Skills[Action],Skills[Icon],"")</f>
        <v/>
      </c>
      <c r="T640" s="5" t="str">
        <f t="array" ref="T640">XLOOKUP(S640,Skills[Action],Skills[Icon],"")</f>
        <v/>
      </c>
      <c r="V640" s="5" t="str">
        <f t="array" ref="V640">XLOOKUP(U640,Skills[Action],Skills[Icon],"")</f>
        <v/>
      </c>
    </row>
    <row r="641">
      <c r="C641" s="7">
        <v>0.007395833333333333</v>
      </c>
      <c r="L641" s="5" t="str">
        <f t="array" ref="L641">XLOOKUP(K641,Skills[Action],Skills[Icon],"")</f>
        <v/>
      </c>
      <c r="N641" s="5" t="str">
        <f t="array" ref="N641">XLOOKUP(M641,Skills[Action],Skills[Icon],"")</f>
        <v/>
      </c>
      <c r="P641" s="5" t="str">
        <f t="array" ref="P641">XLOOKUP(O641,Skills[Action],Skills[Icon],"")</f>
        <v/>
      </c>
      <c r="R641" s="5" t="str">
        <f t="array" ref="R641">XLOOKUP(Q641,Skills[Action],Skills[Icon],"")</f>
        <v/>
      </c>
      <c r="T641" s="5" t="str">
        <f t="array" ref="T641">XLOOKUP(S641,Skills[Action],Skills[Icon],"")</f>
        <v/>
      </c>
      <c r="V641" s="5" t="str">
        <f t="array" ref="V641">XLOOKUP(U641,Skills[Action],Skills[Icon],"")</f>
        <v/>
      </c>
    </row>
    <row r="642">
      <c r="C642" s="7">
        <v>0.007407407407407408</v>
      </c>
      <c r="L642" s="5" t="str">
        <f t="array" ref="L642">XLOOKUP(K642,Skills[Action],Skills[Icon],"")</f>
        <v/>
      </c>
      <c r="N642" s="5" t="str">
        <f t="array" ref="N642">XLOOKUP(M642,Skills[Action],Skills[Icon],"")</f>
        <v/>
      </c>
      <c r="P642" s="5" t="str">
        <f t="array" ref="P642">XLOOKUP(O642,Skills[Action],Skills[Icon],"")</f>
        <v/>
      </c>
      <c r="R642" s="5" t="str">
        <f t="array" ref="R642">XLOOKUP(Q642,Skills[Action],Skills[Icon],"")</f>
        <v/>
      </c>
      <c r="T642" s="5" t="str">
        <f t="array" ref="T642">XLOOKUP(S642,Skills[Action],Skills[Icon],"")</f>
        <v/>
      </c>
      <c r="V642" s="5" t="str">
        <f t="array" ref="V642">XLOOKUP(U642,Skills[Action],Skills[Icon],"")</f>
        <v/>
      </c>
    </row>
    <row r="643">
      <c r="C643" s="7">
        <v>0.007418981481481481</v>
      </c>
      <c r="L643" s="5" t="str">
        <f t="array" ref="L643">XLOOKUP(K643,Skills[Action],Skills[Icon],"")</f>
        <v/>
      </c>
      <c r="N643" s="5" t="str">
        <f t="array" ref="N643">XLOOKUP(M643,Skills[Action],Skills[Icon],"")</f>
        <v/>
      </c>
      <c r="P643" s="5" t="str">
        <f t="array" ref="P643">XLOOKUP(O643,Skills[Action],Skills[Icon],"")</f>
        <v/>
      </c>
      <c r="R643" s="5" t="str">
        <f t="array" ref="R643">XLOOKUP(Q643,Skills[Action],Skills[Icon],"")</f>
        <v/>
      </c>
      <c r="T643" s="5" t="str">
        <f t="array" ref="T643">XLOOKUP(S643,Skills[Action],Skills[Icon],"")</f>
        <v/>
      </c>
      <c r="V643" s="5" t="str">
        <f t="array" ref="V643">XLOOKUP(U643,Skills[Action],Skills[Icon],"")</f>
        <v/>
      </c>
    </row>
    <row r="644">
      <c r="C644" s="7">
        <v>0.007430555555555556</v>
      </c>
      <c r="L644" s="5" t="str">
        <f t="array" ref="L644">XLOOKUP(K644,Skills[Action],Skills[Icon],"")</f>
        <v/>
      </c>
      <c r="N644" s="5" t="str">
        <f t="array" ref="N644">XLOOKUP(M644,Skills[Action],Skills[Icon],"")</f>
        <v/>
      </c>
      <c r="P644" s="5" t="str">
        <f t="array" ref="P644">XLOOKUP(O644,Skills[Action],Skills[Icon],"")</f>
        <v/>
      </c>
      <c r="R644" s="5" t="str">
        <f t="array" ref="R644">XLOOKUP(Q644,Skills[Action],Skills[Icon],"")</f>
        <v/>
      </c>
      <c r="T644" s="5" t="str">
        <f t="array" ref="T644">XLOOKUP(S644,Skills[Action],Skills[Icon],"")</f>
        <v/>
      </c>
      <c r="V644" s="5" t="str">
        <f t="array" ref="V644">XLOOKUP(U644,Skills[Action],Skills[Icon],"")</f>
        <v/>
      </c>
    </row>
    <row r="645">
      <c r="C645" s="7">
        <v>0.007442129629629629</v>
      </c>
      <c r="L645" s="5" t="str">
        <f t="array" ref="L645">XLOOKUP(K645,Skills[Action],Skills[Icon],"")</f>
        <v/>
      </c>
      <c r="N645" s="5" t="str">
        <f t="array" ref="N645">XLOOKUP(M645,Skills[Action],Skills[Icon],"")</f>
        <v/>
      </c>
      <c r="P645" s="5" t="str">
        <f t="array" ref="P645">XLOOKUP(O645,Skills[Action],Skills[Icon],"")</f>
        <v/>
      </c>
      <c r="R645" s="5" t="str">
        <f t="array" ref="R645">XLOOKUP(Q645,Skills[Action],Skills[Icon],"")</f>
        <v/>
      </c>
      <c r="T645" s="5" t="str">
        <f t="array" ref="T645">XLOOKUP(S645,Skills[Action],Skills[Icon],"")</f>
        <v/>
      </c>
      <c r="V645" s="5" t="str">
        <f t="array" ref="V645">XLOOKUP(U645,Skills[Action],Skills[Icon],"")</f>
        <v/>
      </c>
    </row>
    <row r="646">
      <c r="C646" s="7">
        <v>0.007453703703703704</v>
      </c>
      <c r="L646" s="5" t="str">
        <f t="array" ref="L646">XLOOKUP(K646,Skills[Action],Skills[Icon],"")</f>
        <v/>
      </c>
      <c r="N646" s="5" t="str">
        <f t="array" ref="N646">XLOOKUP(M646,Skills[Action],Skills[Icon],"")</f>
        <v/>
      </c>
      <c r="P646" s="5" t="str">
        <f t="array" ref="P646">XLOOKUP(O646,Skills[Action],Skills[Icon],"")</f>
        <v/>
      </c>
      <c r="R646" s="5" t="str">
        <f t="array" ref="R646">XLOOKUP(Q646,Skills[Action],Skills[Icon],"")</f>
        <v/>
      </c>
      <c r="T646" s="5" t="str">
        <f t="array" ref="T646">XLOOKUP(S646,Skills[Action],Skills[Icon],"")</f>
        <v/>
      </c>
      <c r="V646" s="5" t="str">
        <f t="array" ref="V646">XLOOKUP(U646,Skills[Action],Skills[Icon],"")</f>
        <v/>
      </c>
    </row>
    <row r="647">
      <c r="C647" s="7">
        <v>0.007465277777777778</v>
      </c>
      <c r="L647" s="5" t="str">
        <f t="array" ref="L647">XLOOKUP(K647,Skills[Action],Skills[Icon],"")</f>
        <v/>
      </c>
      <c r="N647" s="5" t="str">
        <f t="array" ref="N647">XLOOKUP(M647,Skills[Action],Skills[Icon],"")</f>
        <v/>
      </c>
      <c r="P647" s="5" t="str">
        <f t="array" ref="P647">XLOOKUP(O647,Skills[Action],Skills[Icon],"")</f>
        <v/>
      </c>
      <c r="R647" s="5" t="str">
        <f t="array" ref="R647">XLOOKUP(Q647,Skills[Action],Skills[Icon],"")</f>
        <v/>
      </c>
      <c r="T647" s="5" t="str">
        <f t="array" ref="T647">XLOOKUP(S647,Skills[Action],Skills[Icon],"")</f>
        <v/>
      </c>
      <c r="V647" s="5" t="str">
        <f t="array" ref="V647">XLOOKUP(U647,Skills[Action],Skills[Icon],"")</f>
        <v/>
      </c>
    </row>
    <row r="648">
      <c r="C648" s="7">
        <v>0.007476851851851852</v>
      </c>
      <c r="L648" s="5" t="str">
        <f t="array" ref="L648">XLOOKUP(K648,Skills[Action],Skills[Icon],"")</f>
        <v/>
      </c>
      <c r="N648" s="5" t="str">
        <f t="array" ref="N648">XLOOKUP(M648,Skills[Action],Skills[Icon],"")</f>
        <v/>
      </c>
      <c r="P648" s="5" t="str">
        <f t="array" ref="P648">XLOOKUP(O648,Skills[Action],Skills[Icon],"")</f>
        <v/>
      </c>
      <c r="R648" s="5" t="str">
        <f t="array" ref="R648">XLOOKUP(Q648,Skills[Action],Skills[Icon],"")</f>
        <v/>
      </c>
      <c r="T648" s="5" t="str">
        <f t="array" ref="T648">XLOOKUP(S648,Skills[Action],Skills[Icon],"")</f>
        <v/>
      </c>
      <c r="V648" s="5" t="str">
        <f t="array" ref="V648">XLOOKUP(U648,Skills[Action],Skills[Icon],"")</f>
        <v/>
      </c>
    </row>
    <row r="649">
      <c r="C649" s="7">
        <v>0.007488425925925926</v>
      </c>
      <c r="L649" s="5" t="str">
        <f t="array" ref="L649">XLOOKUP(K649,Skills[Action],Skills[Icon],"")</f>
        <v/>
      </c>
      <c r="N649" s="5" t="str">
        <f t="array" ref="N649">XLOOKUP(M649,Skills[Action],Skills[Icon],"")</f>
        <v/>
      </c>
      <c r="P649" s="5" t="str">
        <f t="array" ref="P649">XLOOKUP(O649,Skills[Action],Skills[Icon],"")</f>
        <v/>
      </c>
      <c r="R649" s="5" t="str">
        <f t="array" ref="R649">XLOOKUP(Q649,Skills[Action],Skills[Icon],"")</f>
        <v/>
      </c>
      <c r="T649" s="5" t="str">
        <f t="array" ref="T649">XLOOKUP(S649,Skills[Action],Skills[Icon],"")</f>
        <v/>
      </c>
      <c r="V649" s="5" t="str">
        <f t="array" ref="V649">XLOOKUP(U649,Skills[Action],Skills[Icon],"")</f>
        <v/>
      </c>
    </row>
    <row r="650">
      <c r="C650" s="7">
        <v>0.0075</v>
      </c>
      <c r="L650" s="5" t="str">
        <f t="array" ref="L650">XLOOKUP(K650,Skills[Action],Skills[Icon],"")</f>
        <v/>
      </c>
      <c r="N650" s="5" t="str">
        <f t="array" ref="N650">XLOOKUP(M650,Skills[Action],Skills[Icon],"")</f>
        <v/>
      </c>
      <c r="P650" s="5" t="str">
        <f t="array" ref="P650">XLOOKUP(O650,Skills[Action],Skills[Icon],"")</f>
        <v/>
      </c>
      <c r="R650" s="5" t="str">
        <f t="array" ref="R650">XLOOKUP(Q650,Skills[Action],Skills[Icon],"")</f>
        <v/>
      </c>
      <c r="T650" s="5" t="str">
        <f t="array" ref="T650">XLOOKUP(S650,Skills[Action],Skills[Icon],"")</f>
        <v/>
      </c>
      <c r="V650" s="5" t="str">
        <f t="array" ref="V650">XLOOKUP(U650,Skills[Action],Skills[Icon],"")</f>
        <v/>
      </c>
    </row>
    <row r="651">
      <c r="C651" s="7">
        <v>0.007511574074074074</v>
      </c>
      <c r="L651" s="5" t="str">
        <f t="array" ref="L651">XLOOKUP(K651,Skills[Action],Skills[Icon],"")</f>
        <v/>
      </c>
      <c r="N651" s="5" t="str">
        <f t="array" ref="N651">XLOOKUP(M651,Skills[Action],Skills[Icon],"")</f>
        <v/>
      </c>
      <c r="P651" s="5" t="str">
        <f t="array" ref="P651">XLOOKUP(O651,Skills[Action],Skills[Icon],"")</f>
        <v/>
      </c>
      <c r="R651" s="5" t="str">
        <f t="array" ref="R651">XLOOKUP(Q651,Skills[Action],Skills[Icon],"")</f>
        <v/>
      </c>
      <c r="T651" s="5" t="str">
        <f t="array" ref="T651">XLOOKUP(S651,Skills[Action],Skills[Icon],"")</f>
        <v/>
      </c>
      <c r="V651" s="5" t="str">
        <f t="array" ref="V651">XLOOKUP(U651,Skills[Action],Skills[Icon],"")</f>
        <v/>
      </c>
    </row>
    <row r="652">
      <c r="C652" s="7">
        <v>0.007523148148148148</v>
      </c>
      <c r="L652" s="5" t="str">
        <f t="array" ref="L652">XLOOKUP(K652,Skills[Action],Skills[Icon],"")</f>
        <v/>
      </c>
      <c r="N652" s="5" t="str">
        <f t="array" ref="N652">XLOOKUP(M652,Skills[Action],Skills[Icon],"")</f>
        <v/>
      </c>
      <c r="P652" s="5" t="str">
        <f t="array" ref="P652">XLOOKUP(O652,Skills[Action],Skills[Icon],"")</f>
        <v/>
      </c>
      <c r="R652" s="5" t="str">
        <f t="array" ref="R652">XLOOKUP(Q652,Skills[Action],Skills[Icon],"")</f>
        <v/>
      </c>
      <c r="T652" s="5" t="str">
        <f t="array" ref="T652">XLOOKUP(S652,Skills[Action],Skills[Icon],"")</f>
        <v/>
      </c>
      <c r="V652" s="5" t="str">
        <f t="array" ref="V652">XLOOKUP(U652,Skills[Action],Skills[Icon],"")</f>
        <v/>
      </c>
    </row>
    <row r="653">
      <c r="C653" s="7">
        <v>0.007534722222222222</v>
      </c>
      <c r="L653" s="5" t="str">
        <f t="array" ref="L653">XLOOKUP(K653,Skills[Action],Skills[Icon],"")</f>
        <v/>
      </c>
      <c r="N653" s="5" t="str">
        <f t="array" ref="N653">XLOOKUP(M653,Skills[Action],Skills[Icon],"")</f>
        <v/>
      </c>
      <c r="P653" s="5" t="str">
        <f t="array" ref="P653">XLOOKUP(O653,Skills[Action],Skills[Icon],"")</f>
        <v/>
      </c>
      <c r="R653" s="5" t="str">
        <f t="array" ref="R653">XLOOKUP(Q653,Skills[Action],Skills[Icon],"")</f>
        <v/>
      </c>
      <c r="T653" s="5" t="str">
        <f t="array" ref="T653">XLOOKUP(S653,Skills[Action],Skills[Icon],"")</f>
        <v/>
      </c>
      <c r="V653" s="5" t="str">
        <f t="array" ref="V653">XLOOKUP(U653,Skills[Action],Skills[Icon],"")</f>
        <v/>
      </c>
    </row>
    <row r="654">
      <c r="C654" s="7">
        <v>0.007546296296296297</v>
      </c>
      <c r="L654" s="5" t="str">
        <f t="array" ref="L654">XLOOKUP(K654,Skills[Action],Skills[Icon],"")</f>
        <v/>
      </c>
      <c r="N654" s="5" t="str">
        <f t="array" ref="N654">XLOOKUP(M654,Skills[Action],Skills[Icon],"")</f>
        <v/>
      </c>
      <c r="P654" s="5" t="str">
        <f t="array" ref="P654">XLOOKUP(O654,Skills[Action],Skills[Icon],"")</f>
        <v/>
      </c>
      <c r="R654" s="5" t="str">
        <f t="array" ref="R654">XLOOKUP(Q654,Skills[Action],Skills[Icon],"")</f>
        <v/>
      </c>
      <c r="T654" s="5" t="str">
        <f t="array" ref="T654">XLOOKUP(S654,Skills[Action],Skills[Icon],"")</f>
        <v/>
      </c>
      <c r="V654" s="5" t="str">
        <f t="array" ref="V654">XLOOKUP(U654,Skills[Action],Skills[Icon],"")</f>
        <v/>
      </c>
    </row>
    <row r="655">
      <c r="C655" s="7">
        <v>0.00755787037037037</v>
      </c>
      <c r="L655" s="5" t="str">
        <f t="array" ref="L655">XLOOKUP(K655,Skills[Action],Skills[Icon],"")</f>
        <v/>
      </c>
      <c r="N655" s="5" t="str">
        <f t="array" ref="N655">XLOOKUP(M655,Skills[Action],Skills[Icon],"")</f>
        <v/>
      </c>
      <c r="P655" s="5" t="str">
        <f t="array" ref="P655">XLOOKUP(O655,Skills[Action],Skills[Icon],"")</f>
        <v/>
      </c>
      <c r="R655" s="5" t="str">
        <f t="array" ref="R655">XLOOKUP(Q655,Skills[Action],Skills[Icon],"")</f>
        <v/>
      </c>
      <c r="T655" s="5" t="str">
        <f t="array" ref="T655">XLOOKUP(S655,Skills[Action],Skills[Icon],"")</f>
        <v/>
      </c>
      <c r="V655" s="5" t="str">
        <f t="array" ref="V655">XLOOKUP(U655,Skills[Action],Skills[Icon],"")</f>
        <v/>
      </c>
    </row>
    <row r="656">
      <c r="C656" s="7">
        <v>0.007569444444444445</v>
      </c>
      <c r="L656" s="5" t="str">
        <f t="array" ref="L656">XLOOKUP(K656,Skills[Action],Skills[Icon],"")</f>
        <v/>
      </c>
      <c r="N656" s="5" t="str">
        <f t="array" ref="N656">XLOOKUP(M656,Skills[Action],Skills[Icon],"")</f>
        <v/>
      </c>
      <c r="P656" s="5" t="str">
        <f t="array" ref="P656">XLOOKUP(O656,Skills[Action],Skills[Icon],"")</f>
        <v/>
      </c>
      <c r="R656" s="5" t="str">
        <f t="array" ref="R656">XLOOKUP(Q656,Skills[Action],Skills[Icon],"")</f>
        <v/>
      </c>
      <c r="T656" s="5" t="str">
        <f t="array" ref="T656">XLOOKUP(S656,Skills[Action],Skills[Icon],"")</f>
        <v/>
      </c>
      <c r="V656" s="5" t="str">
        <f t="array" ref="V656">XLOOKUP(U656,Skills[Action],Skills[Icon],"")</f>
        <v/>
      </c>
    </row>
    <row r="657">
      <c r="C657" s="7">
        <v>0.007581018518518518</v>
      </c>
      <c r="L657" s="5" t="str">
        <f t="array" ref="L657">XLOOKUP(K657,Skills[Action],Skills[Icon],"")</f>
        <v/>
      </c>
      <c r="N657" s="5" t="str">
        <f t="array" ref="N657">XLOOKUP(M657,Skills[Action],Skills[Icon],"")</f>
        <v/>
      </c>
      <c r="P657" s="5" t="str">
        <f t="array" ref="P657">XLOOKUP(O657,Skills[Action],Skills[Icon],"")</f>
        <v/>
      </c>
      <c r="R657" s="5" t="str">
        <f t="array" ref="R657">XLOOKUP(Q657,Skills[Action],Skills[Icon],"")</f>
        <v/>
      </c>
      <c r="T657" s="5" t="str">
        <f t="array" ref="T657">XLOOKUP(S657,Skills[Action],Skills[Icon],"")</f>
        <v/>
      </c>
      <c r="V657" s="5" t="str">
        <f t="array" ref="V657">XLOOKUP(U657,Skills[Action],Skills[Icon],"")</f>
        <v/>
      </c>
    </row>
    <row r="658">
      <c r="C658" s="7">
        <v>0.007592592592592593</v>
      </c>
      <c r="L658" s="5" t="str">
        <f t="array" ref="L658">XLOOKUP(K658,Skills[Action],Skills[Icon],"")</f>
        <v/>
      </c>
      <c r="N658" s="5" t="str">
        <f t="array" ref="N658">XLOOKUP(M658,Skills[Action],Skills[Icon],"")</f>
        <v/>
      </c>
      <c r="P658" s="5" t="str">
        <f t="array" ref="P658">XLOOKUP(O658,Skills[Action],Skills[Icon],"")</f>
        <v/>
      </c>
      <c r="R658" s="5" t="str">
        <f t="array" ref="R658">XLOOKUP(Q658,Skills[Action],Skills[Icon],"")</f>
        <v/>
      </c>
      <c r="T658" s="5" t="str">
        <f t="array" ref="T658">XLOOKUP(S658,Skills[Action],Skills[Icon],"")</f>
        <v/>
      </c>
      <c r="V658" s="5" t="str">
        <f t="array" ref="V658">XLOOKUP(U658,Skills[Action],Skills[Icon],"")</f>
        <v/>
      </c>
    </row>
    <row r="659">
      <c r="C659" s="7">
        <v>0.007604166666666667</v>
      </c>
      <c r="L659" s="5" t="str">
        <f t="array" ref="L659">XLOOKUP(K659,Skills[Action],Skills[Icon],"")</f>
        <v/>
      </c>
      <c r="N659" s="5" t="str">
        <f t="array" ref="N659">XLOOKUP(M659,Skills[Action],Skills[Icon],"")</f>
        <v/>
      </c>
      <c r="P659" s="5" t="str">
        <f t="array" ref="P659">XLOOKUP(O659,Skills[Action],Skills[Icon],"")</f>
        <v/>
      </c>
      <c r="R659" s="5" t="str">
        <f t="array" ref="R659">XLOOKUP(Q659,Skills[Action],Skills[Icon],"")</f>
        <v/>
      </c>
      <c r="T659" s="5" t="str">
        <f t="array" ref="T659">XLOOKUP(S659,Skills[Action],Skills[Icon],"")</f>
        <v/>
      </c>
      <c r="V659" s="5" t="str">
        <f t="array" ref="V659">XLOOKUP(U659,Skills[Action],Skills[Icon],"")</f>
        <v/>
      </c>
    </row>
    <row r="660">
      <c r="C660" s="7">
        <v>0.007615740740740741</v>
      </c>
      <c r="L660" s="5" t="str">
        <f t="array" ref="L660">XLOOKUP(K660,Skills[Action],Skills[Icon],"")</f>
        <v/>
      </c>
      <c r="N660" s="5" t="str">
        <f t="array" ref="N660">XLOOKUP(M660,Skills[Action],Skills[Icon],"")</f>
        <v/>
      </c>
      <c r="P660" s="5" t="str">
        <f t="array" ref="P660">XLOOKUP(O660,Skills[Action],Skills[Icon],"")</f>
        <v/>
      </c>
      <c r="R660" s="5" t="str">
        <f t="array" ref="R660">XLOOKUP(Q660,Skills[Action],Skills[Icon],"")</f>
        <v/>
      </c>
      <c r="T660" s="5" t="str">
        <f t="array" ref="T660">XLOOKUP(S660,Skills[Action],Skills[Icon],"")</f>
        <v/>
      </c>
      <c r="V660" s="5" t="str">
        <f t="array" ref="V660">XLOOKUP(U660,Skills[Action],Skills[Icon],"")</f>
        <v/>
      </c>
    </row>
    <row r="661">
      <c r="C661" s="7">
        <v>0.007627314814814815</v>
      </c>
      <c r="L661" s="5" t="str">
        <f t="array" ref="L661">XLOOKUP(K661,Skills[Action],Skills[Icon],"")</f>
        <v/>
      </c>
      <c r="N661" s="5" t="str">
        <f t="array" ref="N661">XLOOKUP(M661,Skills[Action],Skills[Icon],"")</f>
        <v/>
      </c>
      <c r="P661" s="5" t="str">
        <f t="array" ref="P661">XLOOKUP(O661,Skills[Action],Skills[Icon],"")</f>
        <v/>
      </c>
      <c r="R661" s="5" t="str">
        <f t="array" ref="R661">XLOOKUP(Q661,Skills[Action],Skills[Icon],"")</f>
        <v/>
      </c>
      <c r="T661" s="5" t="str">
        <f t="array" ref="T661">XLOOKUP(S661,Skills[Action],Skills[Icon],"")</f>
        <v/>
      </c>
      <c r="V661" s="5" t="str">
        <f t="array" ref="V661">XLOOKUP(U661,Skills[Action],Skills[Icon],"")</f>
        <v/>
      </c>
    </row>
    <row r="662">
      <c r="C662" s="7">
        <v>0.007638888888888889</v>
      </c>
      <c r="L662" s="5" t="str">
        <f t="array" ref="L662">XLOOKUP(K662,Skills[Action],Skills[Icon],"")</f>
        <v/>
      </c>
      <c r="N662" s="5" t="str">
        <f t="array" ref="N662">XLOOKUP(M662,Skills[Action],Skills[Icon],"")</f>
        <v/>
      </c>
      <c r="P662" s="5" t="str">
        <f t="array" ref="P662">XLOOKUP(O662,Skills[Action],Skills[Icon],"")</f>
        <v/>
      </c>
      <c r="R662" s="5" t="str">
        <f t="array" ref="R662">XLOOKUP(Q662,Skills[Action],Skills[Icon],"")</f>
        <v/>
      </c>
      <c r="T662" s="5" t="str">
        <f t="array" ref="T662">XLOOKUP(S662,Skills[Action],Skills[Icon],"")</f>
        <v/>
      </c>
      <c r="V662" s="5" t="str">
        <f t="array" ref="V662">XLOOKUP(U662,Skills[Action],Skills[Icon],"")</f>
        <v/>
      </c>
    </row>
    <row r="663">
      <c r="C663" s="7">
        <v>0.007650462962962963</v>
      </c>
      <c r="L663" s="5" t="str">
        <f t="array" ref="L663">XLOOKUP(K663,Skills[Action],Skills[Icon],"")</f>
        <v/>
      </c>
      <c r="N663" s="5" t="str">
        <f t="array" ref="N663">XLOOKUP(M663,Skills[Action],Skills[Icon],"")</f>
        <v/>
      </c>
      <c r="P663" s="5" t="str">
        <f t="array" ref="P663">XLOOKUP(O663,Skills[Action],Skills[Icon],"")</f>
        <v/>
      </c>
      <c r="R663" s="5" t="str">
        <f t="array" ref="R663">XLOOKUP(Q663,Skills[Action],Skills[Icon],"")</f>
        <v/>
      </c>
      <c r="T663" s="5" t="str">
        <f t="array" ref="T663">XLOOKUP(S663,Skills[Action],Skills[Icon],"")</f>
        <v/>
      </c>
      <c r="V663" s="5" t="str">
        <f t="array" ref="V663">XLOOKUP(U663,Skills[Action],Skills[Icon],"")</f>
        <v/>
      </c>
    </row>
    <row r="664">
      <c r="C664" s="7">
        <v>0.007662037037037037</v>
      </c>
      <c r="L664" s="5" t="str">
        <f t="array" ref="L664">XLOOKUP(K664,Skills[Action],Skills[Icon],"")</f>
        <v/>
      </c>
      <c r="N664" s="5" t="str">
        <f t="array" ref="N664">XLOOKUP(M664,Skills[Action],Skills[Icon],"")</f>
        <v/>
      </c>
      <c r="P664" s="5" t="str">
        <f t="array" ref="P664">XLOOKUP(O664,Skills[Action],Skills[Icon],"")</f>
        <v/>
      </c>
      <c r="R664" s="5" t="str">
        <f t="array" ref="R664">XLOOKUP(Q664,Skills[Action],Skills[Icon],"")</f>
        <v/>
      </c>
      <c r="T664" s="5" t="str">
        <f t="array" ref="T664">XLOOKUP(S664,Skills[Action],Skills[Icon],"")</f>
        <v/>
      </c>
      <c r="V664" s="5" t="str">
        <f t="array" ref="V664">XLOOKUP(U664,Skills[Action],Skills[Icon],"")</f>
        <v/>
      </c>
    </row>
    <row r="665">
      <c r="C665" s="7">
        <v>0.007673611111111111</v>
      </c>
      <c r="L665" s="5" t="str">
        <f t="array" ref="L665">XLOOKUP(K665,Skills[Action],Skills[Icon],"")</f>
        <v/>
      </c>
      <c r="N665" s="5" t="str">
        <f t="array" ref="N665">XLOOKUP(M665,Skills[Action],Skills[Icon],"")</f>
        <v/>
      </c>
      <c r="P665" s="5" t="str">
        <f t="array" ref="P665">XLOOKUP(O665,Skills[Action],Skills[Icon],"")</f>
        <v/>
      </c>
      <c r="R665" s="5" t="str">
        <f t="array" ref="R665">XLOOKUP(Q665,Skills[Action],Skills[Icon],"")</f>
        <v/>
      </c>
      <c r="T665" s="5" t="str">
        <f t="array" ref="T665">XLOOKUP(S665,Skills[Action],Skills[Icon],"")</f>
        <v/>
      </c>
      <c r="V665" s="5" t="str">
        <f t="array" ref="V665">XLOOKUP(U665,Skills[Action],Skills[Icon],"")</f>
        <v/>
      </c>
    </row>
    <row r="666">
      <c r="C666" s="7">
        <v>0.0076851851851851855</v>
      </c>
      <c r="L666" s="5" t="str">
        <f t="array" ref="L666">XLOOKUP(K666,Skills[Action],Skills[Icon],"")</f>
        <v/>
      </c>
      <c r="N666" s="5" t="str">
        <f t="array" ref="N666">XLOOKUP(M666,Skills[Action],Skills[Icon],"")</f>
        <v/>
      </c>
      <c r="P666" s="5" t="str">
        <f t="array" ref="P666">XLOOKUP(O666,Skills[Action],Skills[Icon],"")</f>
        <v/>
      </c>
      <c r="R666" s="5" t="str">
        <f t="array" ref="R666">XLOOKUP(Q666,Skills[Action],Skills[Icon],"")</f>
        <v/>
      </c>
      <c r="T666" s="5" t="str">
        <f t="array" ref="T666">XLOOKUP(S666,Skills[Action],Skills[Icon],"")</f>
        <v/>
      </c>
      <c r="V666" s="5" t="str">
        <f t="array" ref="V666">XLOOKUP(U666,Skills[Action],Skills[Icon],"")</f>
        <v/>
      </c>
    </row>
    <row r="667">
      <c r="C667" s="7">
        <v>0.007696759259259259</v>
      </c>
      <c r="L667" s="5" t="str">
        <f t="array" ref="L667">XLOOKUP(K667,Skills[Action],Skills[Icon],"")</f>
        <v/>
      </c>
      <c r="N667" s="5" t="str">
        <f t="array" ref="N667">XLOOKUP(M667,Skills[Action],Skills[Icon],"")</f>
        <v/>
      </c>
      <c r="P667" s="5" t="str">
        <f t="array" ref="P667">XLOOKUP(O667,Skills[Action],Skills[Icon],"")</f>
        <v/>
      </c>
      <c r="R667" s="5" t="str">
        <f t="array" ref="R667">XLOOKUP(Q667,Skills[Action],Skills[Icon],"")</f>
        <v/>
      </c>
      <c r="T667" s="5" t="str">
        <f t="array" ref="T667">XLOOKUP(S667,Skills[Action],Skills[Icon],"")</f>
        <v/>
      </c>
      <c r="V667" s="5" t="str">
        <f t="array" ref="V667">XLOOKUP(U667,Skills[Action],Skills[Icon],"")</f>
        <v/>
      </c>
    </row>
    <row r="668">
      <c r="C668" s="7">
        <v>0.0077083333333333335</v>
      </c>
      <c r="L668" s="5" t="str">
        <f t="array" ref="L668">XLOOKUP(K668,Skills[Action],Skills[Icon],"")</f>
        <v/>
      </c>
      <c r="N668" s="5" t="str">
        <f t="array" ref="N668">XLOOKUP(M668,Skills[Action],Skills[Icon],"")</f>
        <v/>
      </c>
      <c r="P668" s="5" t="str">
        <f t="array" ref="P668">XLOOKUP(O668,Skills[Action],Skills[Icon],"")</f>
        <v/>
      </c>
      <c r="R668" s="5" t="str">
        <f t="array" ref="R668">XLOOKUP(Q668,Skills[Action],Skills[Icon],"")</f>
        <v/>
      </c>
      <c r="T668" s="5" t="str">
        <f t="array" ref="T668">XLOOKUP(S668,Skills[Action],Skills[Icon],"")</f>
        <v/>
      </c>
      <c r="V668" s="5" t="str">
        <f t="array" ref="V668">XLOOKUP(U668,Skills[Action],Skills[Icon],"")</f>
        <v/>
      </c>
    </row>
    <row r="669">
      <c r="C669" s="7">
        <v>0.007719907407407407</v>
      </c>
      <c r="L669" s="5" t="str">
        <f t="array" ref="L669">XLOOKUP(K669,Skills[Action],Skills[Icon],"")</f>
        <v/>
      </c>
      <c r="N669" s="5" t="str">
        <f t="array" ref="N669">XLOOKUP(M669,Skills[Action],Skills[Icon],"")</f>
        <v/>
      </c>
      <c r="P669" s="5" t="str">
        <f t="array" ref="P669">XLOOKUP(O669,Skills[Action],Skills[Icon],"")</f>
        <v/>
      </c>
      <c r="R669" s="5" t="str">
        <f t="array" ref="R669">XLOOKUP(Q669,Skills[Action],Skills[Icon],"")</f>
        <v/>
      </c>
      <c r="T669" s="5" t="str">
        <f t="array" ref="T669">XLOOKUP(S669,Skills[Action],Skills[Icon],"")</f>
        <v/>
      </c>
      <c r="V669" s="5" t="str">
        <f t="array" ref="V669">XLOOKUP(U669,Skills[Action],Skills[Icon],"")</f>
        <v/>
      </c>
    </row>
    <row r="670">
      <c r="C670" s="7">
        <v>0.0077314814814814815</v>
      </c>
      <c r="L670" s="5" t="str">
        <f t="array" ref="L670">XLOOKUP(K670,Skills[Action],Skills[Icon],"")</f>
        <v/>
      </c>
      <c r="N670" s="5" t="str">
        <f t="array" ref="N670">XLOOKUP(M670,Skills[Action],Skills[Icon],"")</f>
        <v/>
      </c>
      <c r="P670" s="5" t="str">
        <f t="array" ref="P670">XLOOKUP(O670,Skills[Action],Skills[Icon],"")</f>
        <v/>
      </c>
      <c r="R670" s="5" t="str">
        <f t="array" ref="R670">XLOOKUP(Q670,Skills[Action],Skills[Icon],"")</f>
        <v/>
      </c>
      <c r="T670" s="5" t="str">
        <f t="array" ref="T670">XLOOKUP(S670,Skills[Action],Skills[Icon],"")</f>
        <v/>
      </c>
      <c r="V670" s="5" t="str">
        <f t="array" ref="V670">XLOOKUP(U670,Skills[Action],Skills[Icon],"")</f>
        <v/>
      </c>
    </row>
    <row r="671">
      <c r="C671" s="7">
        <v>0.007743055555555556</v>
      </c>
      <c r="L671" s="5" t="str">
        <f t="array" ref="L671">XLOOKUP(K671,Skills[Action],Skills[Icon],"")</f>
        <v/>
      </c>
      <c r="N671" s="5" t="str">
        <f t="array" ref="N671">XLOOKUP(M671,Skills[Action],Skills[Icon],"")</f>
        <v/>
      </c>
      <c r="P671" s="5" t="str">
        <f t="array" ref="P671">XLOOKUP(O671,Skills[Action],Skills[Icon],"")</f>
        <v/>
      </c>
      <c r="R671" s="5" t="str">
        <f t="array" ref="R671">XLOOKUP(Q671,Skills[Action],Skills[Icon],"")</f>
        <v/>
      </c>
      <c r="T671" s="5" t="str">
        <f t="array" ref="T671">XLOOKUP(S671,Skills[Action],Skills[Icon],"")</f>
        <v/>
      </c>
      <c r="V671" s="5" t="str">
        <f t="array" ref="V671">XLOOKUP(U671,Skills[Action],Skills[Icon],"")</f>
        <v/>
      </c>
    </row>
    <row r="672">
      <c r="C672" s="7">
        <v>0.0077546296296296295</v>
      </c>
      <c r="L672" s="5" t="str">
        <f t="array" ref="L672">XLOOKUP(K672,Skills[Action],Skills[Icon],"")</f>
        <v/>
      </c>
      <c r="N672" s="5" t="str">
        <f t="array" ref="N672">XLOOKUP(M672,Skills[Action],Skills[Icon],"")</f>
        <v/>
      </c>
      <c r="P672" s="5" t="str">
        <f t="array" ref="P672">XLOOKUP(O672,Skills[Action],Skills[Icon],"")</f>
        <v/>
      </c>
      <c r="R672" s="5" t="str">
        <f t="array" ref="R672">XLOOKUP(Q672,Skills[Action],Skills[Icon],"")</f>
        <v/>
      </c>
      <c r="T672" s="5" t="str">
        <f t="array" ref="T672">XLOOKUP(S672,Skills[Action],Skills[Icon],"")</f>
        <v/>
      </c>
      <c r="V672" s="5" t="str">
        <f t="array" ref="V672">XLOOKUP(U672,Skills[Action],Skills[Icon],"")</f>
        <v/>
      </c>
    </row>
    <row r="673">
      <c r="C673" s="7">
        <v>0.007766203703703704</v>
      </c>
      <c r="L673" s="5" t="str">
        <f t="array" ref="L673">XLOOKUP(K673,Skills[Action],Skills[Icon],"")</f>
        <v/>
      </c>
      <c r="N673" s="5" t="str">
        <f t="array" ref="N673">XLOOKUP(M673,Skills[Action],Skills[Icon],"")</f>
        <v/>
      </c>
      <c r="P673" s="5" t="str">
        <f t="array" ref="P673">XLOOKUP(O673,Skills[Action],Skills[Icon],"")</f>
        <v/>
      </c>
      <c r="R673" s="5" t="str">
        <f t="array" ref="R673">XLOOKUP(Q673,Skills[Action],Skills[Icon],"")</f>
        <v/>
      </c>
      <c r="T673" s="5" t="str">
        <f t="array" ref="T673">XLOOKUP(S673,Skills[Action],Skills[Icon],"")</f>
        <v/>
      </c>
      <c r="V673" s="5" t="str">
        <f t="array" ref="V673">XLOOKUP(U673,Skills[Action],Skills[Icon],"")</f>
        <v/>
      </c>
    </row>
    <row r="674">
      <c r="C674" s="7">
        <v>0.0077777777777777776</v>
      </c>
      <c r="L674" s="5" t="str">
        <f t="array" ref="L674">XLOOKUP(K674,Skills[Action],Skills[Icon],"")</f>
        <v/>
      </c>
      <c r="N674" s="5" t="str">
        <f t="array" ref="N674">XLOOKUP(M674,Skills[Action],Skills[Icon],"")</f>
        <v/>
      </c>
      <c r="P674" s="5" t="str">
        <f t="array" ref="P674">XLOOKUP(O674,Skills[Action],Skills[Icon],"")</f>
        <v/>
      </c>
      <c r="R674" s="5" t="str">
        <f t="array" ref="R674">XLOOKUP(Q674,Skills[Action],Skills[Icon],"")</f>
        <v/>
      </c>
      <c r="T674" s="5" t="str">
        <f t="array" ref="T674">XLOOKUP(S674,Skills[Action],Skills[Icon],"")</f>
        <v/>
      </c>
      <c r="V674" s="5" t="str">
        <f t="array" ref="V674">XLOOKUP(U674,Skills[Action],Skills[Icon],"")</f>
        <v/>
      </c>
    </row>
    <row r="675">
      <c r="C675" s="7">
        <v>0.007789351851851852</v>
      </c>
      <c r="L675" s="5" t="str">
        <f t="array" ref="L675">XLOOKUP(K675,Skills[Action],Skills[Icon],"")</f>
        <v/>
      </c>
      <c r="N675" s="5" t="str">
        <f t="array" ref="N675">XLOOKUP(M675,Skills[Action],Skills[Icon],"")</f>
        <v/>
      </c>
      <c r="P675" s="5" t="str">
        <f t="array" ref="P675">XLOOKUP(O675,Skills[Action],Skills[Icon],"")</f>
        <v/>
      </c>
      <c r="R675" s="5" t="str">
        <f t="array" ref="R675">XLOOKUP(Q675,Skills[Action],Skills[Icon],"")</f>
        <v/>
      </c>
      <c r="T675" s="5" t="str">
        <f t="array" ref="T675">XLOOKUP(S675,Skills[Action],Skills[Icon],"")</f>
        <v/>
      </c>
      <c r="V675" s="5" t="str">
        <f t="array" ref="V675">XLOOKUP(U675,Skills[Action],Skills[Icon],"")</f>
        <v/>
      </c>
    </row>
    <row r="676">
      <c r="C676" s="7">
        <v>0.0078009259259259256</v>
      </c>
      <c r="L676" s="5" t="str">
        <f t="array" ref="L676">XLOOKUP(K676,Skills[Action],Skills[Icon],"")</f>
        <v/>
      </c>
      <c r="N676" s="5" t="str">
        <f t="array" ref="N676">XLOOKUP(M676,Skills[Action],Skills[Icon],"")</f>
        <v/>
      </c>
      <c r="P676" s="5" t="str">
        <f t="array" ref="P676">XLOOKUP(O676,Skills[Action],Skills[Icon],"")</f>
        <v/>
      </c>
      <c r="R676" s="5" t="str">
        <f t="array" ref="R676">XLOOKUP(Q676,Skills[Action],Skills[Icon],"")</f>
        <v/>
      </c>
      <c r="T676" s="5" t="str">
        <f t="array" ref="T676">XLOOKUP(S676,Skills[Action],Skills[Icon],"")</f>
        <v/>
      </c>
      <c r="V676" s="5" t="str">
        <f t="array" ref="V676">XLOOKUP(U676,Skills[Action],Skills[Icon],"")</f>
        <v/>
      </c>
    </row>
    <row r="677">
      <c r="C677" s="7">
        <v>0.0078125</v>
      </c>
      <c r="L677" s="5" t="str">
        <f t="array" ref="L677">XLOOKUP(K677,Skills[Action],Skills[Icon],"")</f>
        <v/>
      </c>
      <c r="N677" s="5" t="str">
        <f t="array" ref="N677">XLOOKUP(M677,Skills[Action],Skills[Icon],"")</f>
        <v/>
      </c>
      <c r="P677" s="5" t="str">
        <f t="array" ref="P677">XLOOKUP(O677,Skills[Action],Skills[Icon],"")</f>
        <v/>
      </c>
      <c r="R677" s="5" t="str">
        <f t="array" ref="R677">XLOOKUP(Q677,Skills[Action],Skills[Icon],"")</f>
        <v/>
      </c>
      <c r="T677" s="5" t="str">
        <f t="array" ref="T677">XLOOKUP(S677,Skills[Action],Skills[Icon],"")</f>
        <v/>
      </c>
      <c r="V677" s="5" t="str">
        <f t="array" ref="V677">XLOOKUP(U677,Skills[Action],Skills[Icon],"")</f>
        <v/>
      </c>
    </row>
    <row r="678">
      <c r="C678" s="7">
        <v>0.007824074074074074</v>
      </c>
      <c r="L678" s="5" t="str">
        <f t="array" ref="L678">XLOOKUP(K678,Skills[Action],Skills[Icon],"")</f>
        <v/>
      </c>
      <c r="N678" s="5" t="str">
        <f t="array" ref="N678">XLOOKUP(M678,Skills[Action],Skills[Icon],"")</f>
        <v/>
      </c>
      <c r="P678" s="5" t="str">
        <f t="array" ref="P678">XLOOKUP(O678,Skills[Action],Skills[Icon],"")</f>
        <v/>
      </c>
      <c r="R678" s="5" t="str">
        <f t="array" ref="R678">XLOOKUP(Q678,Skills[Action],Skills[Icon],"")</f>
        <v/>
      </c>
      <c r="T678" s="5" t="str">
        <f t="array" ref="T678">XLOOKUP(S678,Skills[Action],Skills[Icon],"")</f>
        <v/>
      </c>
      <c r="V678" s="5" t="str">
        <f t="array" ref="V678">XLOOKUP(U678,Skills[Action],Skills[Icon],"")</f>
        <v/>
      </c>
    </row>
    <row r="679">
      <c r="C679" s="7">
        <v>0.007835648148148149</v>
      </c>
      <c r="L679" s="5" t="str">
        <f t="array" ref="L679">XLOOKUP(K679,Skills[Action],Skills[Icon],"")</f>
        <v/>
      </c>
      <c r="N679" s="5" t="str">
        <f t="array" ref="N679">XLOOKUP(M679,Skills[Action],Skills[Icon],"")</f>
        <v/>
      </c>
      <c r="P679" s="5" t="str">
        <f t="array" ref="P679">XLOOKUP(O679,Skills[Action],Skills[Icon],"")</f>
        <v/>
      </c>
      <c r="R679" s="5" t="str">
        <f t="array" ref="R679">XLOOKUP(Q679,Skills[Action],Skills[Icon],"")</f>
        <v/>
      </c>
      <c r="T679" s="5" t="str">
        <f t="array" ref="T679">XLOOKUP(S679,Skills[Action],Skills[Icon],"")</f>
        <v/>
      </c>
      <c r="V679" s="5" t="str">
        <f t="array" ref="V679">XLOOKUP(U679,Skills[Action],Skills[Icon],"")</f>
        <v/>
      </c>
    </row>
    <row r="680">
      <c r="C680" s="7">
        <v>0.007847222222222222</v>
      </c>
      <c r="L680" s="5" t="str">
        <f t="array" ref="L680">XLOOKUP(K680,Skills[Action],Skills[Icon],"")</f>
        <v/>
      </c>
      <c r="N680" s="5" t="str">
        <f t="array" ref="N680">XLOOKUP(M680,Skills[Action],Skills[Icon],"")</f>
        <v/>
      </c>
      <c r="P680" s="5" t="str">
        <f t="array" ref="P680">XLOOKUP(O680,Skills[Action],Skills[Icon],"")</f>
        <v/>
      </c>
      <c r="R680" s="5" t="str">
        <f t="array" ref="R680">XLOOKUP(Q680,Skills[Action],Skills[Icon],"")</f>
        <v/>
      </c>
      <c r="T680" s="5" t="str">
        <f t="array" ref="T680">XLOOKUP(S680,Skills[Action],Skills[Icon],"")</f>
        <v/>
      </c>
      <c r="V680" s="5" t="str">
        <f t="array" ref="V680">XLOOKUP(U680,Skills[Action],Skills[Icon],"")</f>
        <v/>
      </c>
    </row>
    <row r="681">
      <c r="C681" s="7">
        <v>0.007858796296296296</v>
      </c>
      <c r="L681" s="5" t="str">
        <f t="array" ref="L681">XLOOKUP(K681,Skills[Action],Skills[Icon],"")</f>
        <v/>
      </c>
      <c r="N681" s="5" t="str">
        <f t="array" ref="N681">XLOOKUP(M681,Skills[Action],Skills[Icon],"")</f>
        <v/>
      </c>
      <c r="P681" s="5" t="str">
        <f t="array" ref="P681">XLOOKUP(O681,Skills[Action],Skills[Icon],"")</f>
        <v/>
      </c>
      <c r="R681" s="5" t="str">
        <f t="array" ref="R681">XLOOKUP(Q681,Skills[Action],Skills[Icon],"")</f>
        <v/>
      </c>
      <c r="T681" s="5" t="str">
        <f t="array" ref="T681">XLOOKUP(S681,Skills[Action],Skills[Icon],"")</f>
        <v/>
      </c>
      <c r="V681" s="5" t="str">
        <f t="array" ref="V681">XLOOKUP(U681,Skills[Action],Skills[Icon],"")</f>
        <v/>
      </c>
    </row>
    <row r="682">
      <c r="C682" s="7">
        <v>0.00787037037037037</v>
      </c>
      <c r="L682" s="5" t="str">
        <f t="array" ref="L682">XLOOKUP(K682,Skills[Action],Skills[Icon],"")</f>
        <v/>
      </c>
      <c r="N682" s="5" t="str">
        <f t="array" ref="N682">XLOOKUP(M682,Skills[Action],Skills[Icon],"")</f>
        <v/>
      </c>
      <c r="P682" s="5" t="str">
        <f t="array" ref="P682">XLOOKUP(O682,Skills[Action],Skills[Icon],"")</f>
        <v/>
      </c>
      <c r="R682" s="5" t="str">
        <f t="array" ref="R682">XLOOKUP(Q682,Skills[Action],Skills[Icon],"")</f>
        <v/>
      </c>
      <c r="T682" s="5" t="str">
        <f t="array" ref="T682">XLOOKUP(S682,Skills[Action],Skills[Icon],"")</f>
        <v/>
      </c>
      <c r="V682" s="5" t="str">
        <f t="array" ref="V682">XLOOKUP(U682,Skills[Action],Skills[Icon],"")</f>
        <v/>
      </c>
    </row>
    <row r="683">
      <c r="C683" s="7">
        <v>0.007881944444444445</v>
      </c>
      <c r="L683" s="5" t="str">
        <f t="array" ref="L683">XLOOKUP(K683,Skills[Action],Skills[Icon],"")</f>
        <v/>
      </c>
      <c r="N683" s="5" t="str">
        <f t="array" ref="N683">XLOOKUP(M683,Skills[Action],Skills[Icon],"")</f>
        <v/>
      </c>
      <c r="P683" s="5" t="str">
        <f t="array" ref="P683">XLOOKUP(O683,Skills[Action],Skills[Icon],"")</f>
        <v/>
      </c>
      <c r="R683" s="5" t="str">
        <f t="array" ref="R683">XLOOKUP(Q683,Skills[Action],Skills[Icon],"")</f>
        <v/>
      </c>
      <c r="T683" s="5" t="str">
        <f t="array" ref="T683">XLOOKUP(S683,Skills[Action],Skills[Icon],"")</f>
        <v/>
      </c>
      <c r="V683" s="5" t="str">
        <f t="array" ref="V683">XLOOKUP(U683,Skills[Action],Skills[Icon],"")</f>
        <v/>
      </c>
    </row>
    <row r="684">
      <c r="C684" s="7">
        <v>0.007893518518518518</v>
      </c>
      <c r="L684" s="5" t="str">
        <f t="array" ref="L684">XLOOKUP(K684,Skills[Action],Skills[Icon],"")</f>
        <v/>
      </c>
      <c r="N684" s="5" t="str">
        <f t="array" ref="N684">XLOOKUP(M684,Skills[Action],Skills[Icon],"")</f>
        <v/>
      </c>
      <c r="P684" s="5" t="str">
        <f t="array" ref="P684">XLOOKUP(O684,Skills[Action],Skills[Icon],"")</f>
        <v/>
      </c>
      <c r="R684" s="5" t="str">
        <f t="array" ref="R684">XLOOKUP(Q684,Skills[Action],Skills[Icon],"")</f>
        <v/>
      </c>
      <c r="T684" s="5" t="str">
        <f t="array" ref="T684">XLOOKUP(S684,Skills[Action],Skills[Icon],"")</f>
        <v/>
      </c>
      <c r="V684" s="5" t="str">
        <f t="array" ref="V684">XLOOKUP(U684,Skills[Action],Skills[Icon],"")</f>
        <v/>
      </c>
    </row>
    <row r="685">
      <c r="C685" s="7">
        <v>0.007905092592592592</v>
      </c>
      <c r="L685" s="5" t="str">
        <f t="array" ref="L685">XLOOKUP(K685,Skills[Action],Skills[Icon],"")</f>
        <v/>
      </c>
      <c r="N685" s="5" t="str">
        <f t="array" ref="N685">XLOOKUP(M685,Skills[Action],Skills[Icon],"")</f>
        <v/>
      </c>
      <c r="P685" s="5" t="str">
        <f t="array" ref="P685">XLOOKUP(O685,Skills[Action],Skills[Icon],"")</f>
        <v/>
      </c>
      <c r="R685" s="5" t="str">
        <f t="array" ref="R685">XLOOKUP(Q685,Skills[Action],Skills[Icon],"")</f>
        <v/>
      </c>
      <c r="T685" s="5" t="str">
        <f t="array" ref="T685">XLOOKUP(S685,Skills[Action],Skills[Icon],"")</f>
        <v/>
      </c>
      <c r="V685" s="5" t="str">
        <f t="array" ref="V685">XLOOKUP(U685,Skills[Action],Skills[Icon],"")</f>
        <v/>
      </c>
    </row>
    <row r="686">
      <c r="C686" s="7">
        <v>0.007916666666666667</v>
      </c>
      <c r="L686" s="5" t="str">
        <f t="array" ref="L686">XLOOKUP(K686,Skills[Action],Skills[Icon],"")</f>
        <v/>
      </c>
      <c r="N686" s="5" t="str">
        <f t="array" ref="N686">XLOOKUP(M686,Skills[Action],Skills[Icon],"")</f>
        <v/>
      </c>
      <c r="P686" s="5" t="str">
        <f t="array" ref="P686">XLOOKUP(O686,Skills[Action],Skills[Icon],"")</f>
        <v/>
      </c>
      <c r="R686" s="5" t="str">
        <f t="array" ref="R686">XLOOKUP(Q686,Skills[Action],Skills[Icon],"")</f>
        <v/>
      </c>
      <c r="T686" s="5" t="str">
        <f t="array" ref="T686">XLOOKUP(S686,Skills[Action],Skills[Icon],"")</f>
        <v/>
      </c>
      <c r="V686" s="5" t="str">
        <f t="array" ref="V686">XLOOKUP(U686,Skills[Action],Skills[Icon],"")</f>
        <v/>
      </c>
    </row>
    <row r="687">
      <c r="C687" s="7">
        <v>0.007928240740740741</v>
      </c>
      <c r="L687" s="5" t="str">
        <f t="array" ref="L687">XLOOKUP(K687,Skills[Action],Skills[Icon],"")</f>
        <v/>
      </c>
      <c r="N687" s="5" t="str">
        <f t="array" ref="N687">XLOOKUP(M687,Skills[Action],Skills[Icon],"")</f>
        <v/>
      </c>
      <c r="P687" s="5" t="str">
        <f t="array" ref="P687">XLOOKUP(O687,Skills[Action],Skills[Icon],"")</f>
        <v/>
      </c>
      <c r="R687" s="5" t="str">
        <f t="array" ref="R687">XLOOKUP(Q687,Skills[Action],Skills[Icon],"")</f>
        <v/>
      </c>
      <c r="T687" s="5" t="str">
        <f t="array" ref="T687">XLOOKUP(S687,Skills[Action],Skills[Icon],"")</f>
        <v/>
      </c>
      <c r="V687" s="5" t="str">
        <f t="array" ref="V687">XLOOKUP(U687,Skills[Action],Skills[Icon],"")</f>
        <v/>
      </c>
    </row>
    <row r="688">
      <c r="C688" s="7">
        <v>0.007939814814814814</v>
      </c>
      <c r="L688" s="5" t="str">
        <f t="array" ref="L688">XLOOKUP(K688,Skills[Action],Skills[Icon],"")</f>
        <v/>
      </c>
      <c r="N688" s="5" t="str">
        <f t="array" ref="N688">XLOOKUP(M688,Skills[Action],Skills[Icon],"")</f>
        <v/>
      </c>
      <c r="P688" s="5" t="str">
        <f t="array" ref="P688">XLOOKUP(O688,Skills[Action],Skills[Icon],"")</f>
        <v/>
      </c>
      <c r="R688" s="5" t="str">
        <f t="array" ref="R688">XLOOKUP(Q688,Skills[Action],Skills[Icon],"")</f>
        <v/>
      </c>
      <c r="T688" s="5" t="str">
        <f t="array" ref="T688">XLOOKUP(S688,Skills[Action],Skills[Icon],"")</f>
        <v/>
      </c>
      <c r="V688" s="5" t="str">
        <f t="array" ref="V688">XLOOKUP(U688,Skills[Action],Skills[Icon],"")</f>
        <v/>
      </c>
    </row>
    <row r="689">
      <c r="C689" s="7">
        <v>0.007951388888888888</v>
      </c>
      <c r="L689" s="5" t="str">
        <f t="array" ref="L689">XLOOKUP(K689,Skills[Action],Skills[Icon],"")</f>
        <v/>
      </c>
      <c r="N689" s="5" t="str">
        <f t="array" ref="N689">XLOOKUP(M689,Skills[Action],Skills[Icon],"")</f>
        <v/>
      </c>
      <c r="P689" s="5" t="str">
        <f t="array" ref="P689">XLOOKUP(O689,Skills[Action],Skills[Icon],"")</f>
        <v/>
      </c>
      <c r="R689" s="5" t="str">
        <f t="array" ref="R689">XLOOKUP(Q689,Skills[Action],Skills[Icon],"")</f>
        <v/>
      </c>
      <c r="T689" s="5" t="str">
        <f t="array" ref="T689">XLOOKUP(S689,Skills[Action],Skills[Icon],"")</f>
        <v/>
      </c>
      <c r="V689" s="5" t="str">
        <f t="array" ref="V689">XLOOKUP(U689,Skills[Action],Skills[Icon],"")</f>
        <v/>
      </c>
    </row>
    <row r="690">
      <c r="C690" s="7">
        <v>0.007962962962962963</v>
      </c>
      <c r="L690" s="5" t="str">
        <f t="array" ref="L690">XLOOKUP(K690,Skills[Action],Skills[Icon],"")</f>
        <v/>
      </c>
      <c r="N690" s="5" t="str">
        <f t="array" ref="N690">XLOOKUP(M690,Skills[Action],Skills[Icon],"")</f>
        <v/>
      </c>
      <c r="P690" s="5" t="str">
        <f t="array" ref="P690">XLOOKUP(O690,Skills[Action],Skills[Icon],"")</f>
        <v/>
      </c>
      <c r="R690" s="5" t="str">
        <f t="array" ref="R690">XLOOKUP(Q690,Skills[Action],Skills[Icon],"")</f>
        <v/>
      </c>
      <c r="T690" s="5" t="str">
        <f t="array" ref="T690">XLOOKUP(S690,Skills[Action],Skills[Icon],"")</f>
        <v/>
      </c>
      <c r="V690" s="5" t="str">
        <f t="array" ref="V690">XLOOKUP(U690,Skills[Action],Skills[Icon],"")</f>
        <v/>
      </c>
    </row>
    <row r="691">
      <c r="C691" s="7">
        <v>0.007974537037037037</v>
      </c>
      <c r="L691" s="5" t="str">
        <f t="array" ref="L691">XLOOKUP(K691,Skills[Action],Skills[Icon],"")</f>
        <v/>
      </c>
      <c r="N691" s="5" t="str">
        <f t="array" ref="N691">XLOOKUP(M691,Skills[Action],Skills[Icon],"")</f>
        <v/>
      </c>
      <c r="P691" s="5" t="str">
        <f t="array" ref="P691">XLOOKUP(O691,Skills[Action],Skills[Icon],"")</f>
        <v/>
      </c>
      <c r="R691" s="5" t="str">
        <f t="array" ref="R691">XLOOKUP(Q691,Skills[Action],Skills[Icon],"")</f>
        <v/>
      </c>
      <c r="T691" s="5" t="str">
        <f t="array" ref="T691">XLOOKUP(S691,Skills[Action],Skills[Icon],"")</f>
        <v/>
      </c>
      <c r="V691" s="5" t="str">
        <f t="array" ref="V691">XLOOKUP(U691,Skills[Action],Skills[Icon],"")</f>
        <v/>
      </c>
    </row>
    <row r="692">
      <c r="C692" s="7">
        <v>0.00798611111111111</v>
      </c>
      <c r="L692" s="5" t="str">
        <f t="array" ref="L692">XLOOKUP(K692,Skills[Action],Skills[Icon],"")</f>
        <v/>
      </c>
      <c r="N692" s="5" t="str">
        <f t="array" ref="N692">XLOOKUP(M692,Skills[Action],Skills[Icon],"")</f>
        <v/>
      </c>
      <c r="P692" s="5" t="str">
        <f t="array" ref="P692">XLOOKUP(O692,Skills[Action],Skills[Icon],"")</f>
        <v/>
      </c>
      <c r="R692" s="5" t="str">
        <f t="array" ref="R692">XLOOKUP(Q692,Skills[Action],Skills[Icon],"")</f>
        <v/>
      </c>
      <c r="T692" s="5" t="str">
        <f t="array" ref="T692">XLOOKUP(S692,Skills[Action],Skills[Icon],"")</f>
        <v/>
      </c>
      <c r="V692" s="5" t="str">
        <f t="array" ref="V692">XLOOKUP(U692,Skills[Action],Skills[Icon],"")</f>
        <v/>
      </c>
    </row>
    <row r="693">
      <c r="C693" s="7">
        <v>0.007997685185185186</v>
      </c>
      <c r="L693" s="5" t="str">
        <f t="array" ref="L693">XLOOKUP(K693,Skills[Action],Skills[Icon],"")</f>
        <v/>
      </c>
      <c r="N693" s="5" t="str">
        <f t="array" ref="N693">XLOOKUP(M693,Skills[Action],Skills[Icon],"")</f>
        <v/>
      </c>
      <c r="P693" s="5" t="str">
        <f t="array" ref="P693">XLOOKUP(O693,Skills[Action],Skills[Icon],"")</f>
        <v/>
      </c>
      <c r="R693" s="5" t="str">
        <f t="array" ref="R693">XLOOKUP(Q693,Skills[Action],Skills[Icon],"")</f>
        <v/>
      </c>
      <c r="T693" s="5" t="str">
        <f t="array" ref="T693">XLOOKUP(S693,Skills[Action],Skills[Icon],"")</f>
        <v/>
      </c>
      <c r="V693" s="5" t="str">
        <f t="array" ref="V693">XLOOKUP(U693,Skills[Action],Skills[Icon],"")</f>
        <v/>
      </c>
    </row>
    <row r="694">
      <c r="C694" s="7">
        <v>0.00800925925925926</v>
      </c>
      <c r="L694" s="5" t="str">
        <f t="array" ref="L694">XLOOKUP(K694,Skills[Action],Skills[Icon],"")</f>
        <v/>
      </c>
      <c r="N694" s="5" t="str">
        <f t="array" ref="N694">XLOOKUP(M694,Skills[Action],Skills[Icon],"")</f>
        <v/>
      </c>
      <c r="P694" s="5" t="str">
        <f t="array" ref="P694">XLOOKUP(O694,Skills[Action],Skills[Icon],"")</f>
        <v/>
      </c>
      <c r="R694" s="5" t="str">
        <f t="array" ref="R694">XLOOKUP(Q694,Skills[Action],Skills[Icon],"")</f>
        <v/>
      </c>
      <c r="T694" s="5" t="str">
        <f t="array" ref="T694">XLOOKUP(S694,Skills[Action],Skills[Icon],"")</f>
        <v/>
      </c>
      <c r="V694" s="5" t="str">
        <f t="array" ref="V694">XLOOKUP(U694,Skills[Action],Skills[Icon],"")</f>
        <v/>
      </c>
    </row>
    <row r="695">
      <c r="C695" s="7">
        <v>0.008020833333333333</v>
      </c>
      <c r="L695" s="5" t="str">
        <f t="array" ref="L695">XLOOKUP(K695,Skills[Action],Skills[Icon],"")</f>
        <v/>
      </c>
      <c r="N695" s="5" t="str">
        <f t="array" ref="N695">XLOOKUP(M695,Skills[Action],Skills[Icon],"")</f>
        <v/>
      </c>
      <c r="P695" s="5" t="str">
        <f t="array" ref="P695">XLOOKUP(O695,Skills[Action],Skills[Icon],"")</f>
        <v/>
      </c>
      <c r="R695" s="5" t="str">
        <f t="array" ref="R695">XLOOKUP(Q695,Skills[Action],Skills[Icon],"")</f>
        <v/>
      </c>
      <c r="T695" s="5" t="str">
        <f t="array" ref="T695">XLOOKUP(S695,Skills[Action],Skills[Icon],"")</f>
        <v/>
      </c>
      <c r="V695" s="5" t="str">
        <f t="array" ref="V695">XLOOKUP(U695,Skills[Action],Skills[Icon],"")</f>
        <v/>
      </c>
    </row>
    <row r="696">
      <c r="C696" s="7">
        <v>0.008032407407407408</v>
      </c>
      <c r="L696" s="5" t="str">
        <f t="array" ref="L696">XLOOKUP(K696,Skills[Action],Skills[Icon],"")</f>
        <v/>
      </c>
      <c r="N696" s="5" t="str">
        <f t="array" ref="N696">XLOOKUP(M696,Skills[Action],Skills[Icon],"")</f>
        <v/>
      </c>
      <c r="P696" s="5" t="str">
        <f t="array" ref="P696">XLOOKUP(O696,Skills[Action],Skills[Icon],"")</f>
        <v/>
      </c>
      <c r="R696" s="5" t="str">
        <f t="array" ref="R696">XLOOKUP(Q696,Skills[Action],Skills[Icon],"")</f>
        <v/>
      </c>
      <c r="T696" s="5" t="str">
        <f t="array" ref="T696">XLOOKUP(S696,Skills[Action],Skills[Icon],"")</f>
        <v/>
      </c>
      <c r="V696" s="5" t="str">
        <f t="array" ref="V696">XLOOKUP(U696,Skills[Action],Skills[Icon],"")</f>
        <v/>
      </c>
    </row>
    <row r="697">
      <c r="C697" s="7">
        <v>0.008043981481481482</v>
      </c>
      <c r="L697" s="5" t="str">
        <f t="array" ref="L697">XLOOKUP(K697,Skills[Action],Skills[Icon],"")</f>
        <v/>
      </c>
      <c r="N697" s="5" t="str">
        <f t="array" ref="N697">XLOOKUP(M697,Skills[Action],Skills[Icon],"")</f>
        <v/>
      </c>
      <c r="P697" s="5" t="str">
        <f t="array" ref="P697">XLOOKUP(O697,Skills[Action],Skills[Icon],"")</f>
        <v/>
      </c>
      <c r="R697" s="5" t="str">
        <f t="array" ref="R697">XLOOKUP(Q697,Skills[Action],Skills[Icon],"")</f>
        <v/>
      </c>
      <c r="T697" s="5" t="str">
        <f t="array" ref="T697">XLOOKUP(S697,Skills[Action],Skills[Icon],"")</f>
        <v/>
      </c>
      <c r="V697" s="5" t="str">
        <f t="array" ref="V697">XLOOKUP(U697,Skills[Action],Skills[Icon],"")</f>
        <v/>
      </c>
    </row>
    <row r="698">
      <c r="C698" s="7">
        <v>0.008055555555555555</v>
      </c>
      <c r="L698" s="5" t="str">
        <f t="array" ref="L698">XLOOKUP(K698,Skills[Action],Skills[Icon],"")</f>
        <v/>
      </c>
      <c r="N698" s="5" t="str">
        <f t="array" ref="N698">XLOOKUP(M698,Skills[Action],Skills[Icon],"")</f>
        <v/>
      </c>
      <c r="P698" s="5" t="str">
        <f t="array" ref="P698">XLOOKUP(O698,Skills[Action],Skills[Icon],"")</f>
        <v/>
      </c>
      <c r="R698" s="5" t="str">
        <f t="array" ref="R698">XLOOKUP(Q698,Skills[Action],Skills[Icon],"")</f>
        <v/>
      </c>
      <c r="T698" s="5" t="str">
        <f t="array" ref="T698">XLOOKUP(S698,Skills[Action],Skills[Icon],"")</f>
        <v/>
      </c>
      <c r="V698" s="5" t="str">
        <f t="array" ref="V698">XLOOKUP(U698,Skills[Action],Skills[Icon],"")</f>
        <v/>
      </c>
    </row>
    <row r="699">
      <c r="C699" s="7">
        <v>0.008067129629629629</v>
      </c>
      <c r="L699" s="5" t="str">
        <f t="array" ref="L699">XLOOKUP(K699,Skills[Action],Skills[Icon],"")</f>
        <v/>
      </c>
      <c r="N699" s="5" t="str">
        <f t="array" ref="N699">XLOOKUP(M699,Skills[Action],Skills[Icon],"")</f>
        <v/>
      </c>
      <c r="P699" s="5" t="str">
        <f t="array" ref="P699">XLOOKUP(O699,Skills[Action],Skills[Icon],"")</f>
        <v/>
      </c>
      <c r="R699" s="5" t="str">
        <f t="array" ref="R699">XLOOKUP(Q699,Skills[Action],Skills[Icon],"")</f>
        <v/>
      </c>
      <c r="T699" s="5" t="str">
        <f t="array" ref="T699">XLOOKUP(S699,Skills[Action],Skills[Icon],"")</f>
        <v/>
      </c>
      <c r="V699" s="5" t="str">
        <f t="array" ref="V699">XLOOKUP(U699,Skills[Action],Skills[Icon],"")</f>
        <v/>
      </c>
    </row>
    <row r="700">
      <c r="C700" s="7">
        <v>0.008078703703703704</v>
      </c>
      <c r="L700" s="5" t="str">
        <f t="array" ref="L700">XLOOKUP(K700,Skills[Action],Skills[Icon],"")</f>
        <v/>
      </c>
      <c r="N700" s="5" t="str">
        <f t="array" ref="N700">XLOOKUP(M700,Skills[Action],Skills[Icon],"")</f>
        <v/>
      </c>
      <c r="P700" s="5" t="str">
        <f t="array" ref="P700">XLOOKUP(O700,Skills[Action],Skills[Icon],"")</f>
        <v/>
      </c>
      <c r="R700" s="5" t="str">
        <f t="array" ref="R700">XLOOKUP(Q700,Skills[Action],Skills[Icon],"")</f>
        <v/>
      </c>
      <c r="T700" s="5" t="str">
        <f t="array" ref="T700">XLOOKUP(S700,Skills[Action],Skills[Icon],"")</f>
        <v/>
      </c>
      <c r="V700" s="5" t="str">
        <f t="array" ref="V700">XLOOKUP(U700,Skills[Action],Skills[Icon],"")</f>
        <v/>
      </c>
    </row>
    <row r="701">
      <c r="C701" s="7">
        <v>0.008090277777777778</v>
      </c>
      <c r="L701" s="5" t="str">
        <f t="array" ref="L701">XLOOKUP(K701,Skills[Action],Skills[Icon],"")</f>
        <v/>
      </c>
      <c r="N701" s="5" t="str">
        <f t="array" ref="N701">XLOOKUP(M701,Skills[Action],Skills[Icon],"")</f>
        <v/>
      </c>
      <c r="P701" s="5" t="str">
        <f t="array" ref="P701">XLOOKUP(O701,Skills[Action],Skills[Icon],"")</f>
        <v/>
      </c>
      <c r="R701" s="5" t="str">
        <f t="array" ref="R701">XLOOKUP(Q701,Skills[Action],Skills[Icon],"")</f>
        <v/>
      </c>
      <c r="T701" s="5" t="str">
        <f t="array" ref="T701">XLOOKUP(S701,Skills[Action],Skills[Icon],"")</f>
        <v/>
      </c>
      <c r="V701" s="5" t="str">
        <f t="array" ref="V701">XLOOKUP(U701,Skills[Action],Skills[Icon],"")</f>
        <v/>
      </c>
    </row>
    <row r="702">
      <c r="C702" s="7">
        <v>0.008101851851851851</v>
      </c>
      <c r="L702" s="5" t="str">
        <f t="array" ref="L702">XLOOKUP(K702,Skills[Action],Skills[Icon],"")</f>
        <v/>
      </c>
      <c r="N702" s="5" t="str">
        <f t="array" ref="N702">XLOOKUP(M702,Skills[Action],Skills[Icon],"")</f>
        <v/>
      </c>
      <c r="P702" s="5" t="str">
        <f t="array" ref="P702">XLOOKUP(O702,Skills[Action],Skills[Icon],"")</f>
        <v/>
      </c>
      <c r="R702" s="5" t="str">
        <f t="array" ref="R702">XLOOKUP(Q702,Skills[Action],Skills[Icon],"")</f>
        <v/>
      </c>
      <c r="T702" s="5" t="str">
        <f t="array" ref="T702">XLOOKUP(S702,Skills[Action],Skills[Icon],"")</f>
        <v/>
      </c>
      <c r="V702" s="5" t="str">
        <f t="array" ref="V702">XLOOKUP(U702,Skills[Action],Skills[Icon],"")</f>
        <v/>
      </c>
    </row>
    <row r="703">
      <c r="C703" s="7">
        <v>0.008113425925925927</v>
      </c>
      <c r="L703" s="5" t="str">
        <f t="array" ref="L703">XLOOKUP(K703,Skills[Action],Skills[Icon],"")</f>
        <v/>
      </c>
      <c r="N703" s="5" t="str">
        <f t="array" ref="N703">XLOOKUP(M703,Skills[Action],Skills[Icon],"")</f>
        <v/>
      </c>
      <c r="P703" s="5" t="str">
        <f t="array" ref="P703">XLOOKUP(O703,Skills[Action],Skills[Icon],"")</f>
        <v/>
      </c>
      <c r="R703" s="5" t="str">
        <f t="array" ref="R703">XLOOKUP(Q703,Skills[Action],Skills[Icon],"")</f>
        <v/>
      </c>
      <c r="T703" s="5" t="str">
        <f t="array" ref="T703">XLOOKUP(S703,Skills[Action],Skills[Icon],"")</f>
        <v/>
      </c>
      <c r="V703" s="5" t="str">
        <f t="array" ref="V703">XLOOKUP(U703,Skills[Action],Skills[Icon],"")</f>
        <v/>
      </c>
    </row>
    <row r="704">
      <c r="C704" s="7">
        <v>0.008125</v>
      </c>
      <c r="L704" s="5" t="str">
        <f t="array" ref="L704">XLOOKUP(K704,Skills[Action],Skills[Icon],"")</f>
        <v/>
      </c>
      <c r="N704" s="5" t="str">
        <f t="array" ref="N704">XLOOKUP(M704,Skills[Action],Skills[Icon],"")</f>
        <v/>
      </c>
      <c r="P704" s="5" t="str">
        <f t="array" ref="P704">XLOOKUP(O704,Skills[Action],Skills[Icon],"")</f>
        <v/>
      </c>
      <c r="R704" s="5" t="str">
        <f t="array" ref="R704">XLOOKUP(Q704,Skills[Action],Skills[Icon],"")</f>
        <v/>
      </c>
      <c r="T704" s="5" t="str">
        <f t="array" ref="T704">XLOOKUP(S704,Skills[Action],Skills[Icon],"")</f>
        <v/>
      </c>
      <c r="V704" s="5" t="str">
        <f t="array" ref="V704">XLOOKUP(U704,Skills[Action],Skills[Icon],"")</f>
        <v/>
      </c>
    </row>
    <row r="705">
      <c r="C705" s="7">
        <v>0.008136574074074074</v>
      </c>
      <c r="L705" s="5" t="str">
        <f t="array" ref="L705">XLOOKUP(K705,Skills[Action],Skills[Icon],"")</f>
        <v/>
      </c>
      <c r="N705" s="5" t="str">
        <f t="array" ref="N705">XLOOKUP(M705,Skills[Action],Skills[Icon],"")</f>
        <v/>
      </c>
      <c r="P705" s="5" t="str">
        <f t="array" ref="P705">XLOOKUP(O705,Skills[Action],Skills[Icon],"")</f>
        <v/>
      </c>
      <c r="R705" s="5" t="str">
        <f t="array" ref="R705">XLOOKUP(Q705,Skills[Action],Skills[Icon],"")</f>
        <v/>
      </c>
      <c r="T705" s="5" t="str">
        <f t="array" ref="T705">XLOOKUP(S705,Skills[Action],Skills[Icon],"")</f>
        <v/>
      </c>
      <c r="V705" s="5" t="str">
        <f t="array" ref="V705">XLOOKUP(U705,Skills[Action],Skills[Icon],"")</f>
        <v/>
      </c>
    </row>
    <row r="706">
      <c r="C706" s="7">
        <v>0.008148148148148147</v>
      </c>
      <c r="L706" s="5" t="str">
        <f t="array" ref="L706">XLOOKUP(K706,Skills[Action],Skills[Icon],"")</f>
        <v/>
      </c>
      <c r="N706" s="5" t="str">
        <f t="array" ref="N706">XLOOKUP(M706,Skills[Action],Skills[Icon],"")</f>
        <v/>
      </c>
      <c r="P706" s="5" t="str">
        <f t="array" ref="P706">XLOOKUP(O706,Skills[Action],Skills[Icon],"")</f>
        <v/>
      </c>
      <c r="R706" s="5" t="str">
        <f t="array" ref="R706">XLOOKUP(Q706,Skills[Action],Skills[Icon],"")</f>
        <v/>
      </c>
      <c r="T706" s="5" t="str">
        <f t="array" ref="T706">XLOOKUP(S706,Skills[Action],Skills[Icon],"")</f>
        <v/>
      </c>
      <c r="V706" s="5" t="str">
        <f t="array" ref="V706">XLOOKUP(U706,Skills[Action],Skills[Icon],"")</f>
        <v/>
      </c>
    </row>
    <row r="707">
      <c r="C707" s="7">
        <v>0.008159722222222223</v>
      </c>
      <c r="L707" s="5" t="str">
        <f t="array" ref="L707">XLOOKUP(K707,Skills[Action],Skills[Icon],"")</f>
        <v/>
      </c>
      <c r="N707" s="5" t="str">
        <f t="array" ref="N707">XLOOKUP(M707,Skills[Action],Skills[Icon],"")</f>
        <v/>
      </c>
      <c r="P707" s="5" t="str">
        <f t="array" ref="P707">XLOOKUP(O707,Skills[Action],Skills[Icon],"")</f>
        <v/>
      </c>
      <c r="R707" s="5" t="str">
        <f t="array" ref="R707">XLOOKUP(Q707,Skills[Action],Skills[Icon],"")</f>
        <v/>
      </c>
      <c r="T707" s="5" t="str">
        <f t="array" ref="T707">XLOOKUP(S707,Skills[Action],Skills[Icon],"")</f>
        <v/>
      </c>
      <c r="V707" s="5" t="str">
        <f t="array" ref="V707">XLOOKUP(U707,Skills[Action],Skills[Icon],"")</f>
        <v/>
      </c>
    </row>
    <row r="708">
      <c r="C708" s="7">
        <v>0.008171296296296296</v>
      </c>
      <c r="L708" s="5" t="str">
        <f t="array" ref="L708">XLOOKUP(K708,Skills[Action],Skills[Icon],"")</f>
        <v/>
      </c>
      <c r="N708" s="5" t="str">
        <f t="array" ref="N708">XLOOKUP(M708,Skills[Action],Skills[Icon],"")</f>
        <v/>
      </c>
      <c r="P708" s="5" t="str">
        <f t="array" ref="P708">XLOOKUP(O708,Skills[Action],Skills[Icon],"")</f>
        <v/>
      </c>
      <c r="R708" s="5" t="str">
        <f t="array" ref="R708">XLOOKUP(Q708,Skills[Action],Skills[Icon],"")</f>
        <v/>
      </c>
      <c r="T708" s="5" t="str">
        <f t="array" ref="T708">XLOOKUP(S708,Skills[Action],Skills[Icon],"")</f>
        <v/>
      </c>
      <c r="V708" s="5" t="str">
        <f t="array" ref="V708">XLOOKUP(U708,Skills[Action],Skills[Icon],"")</f>
        <v/>
      </c>
    </row>
    <row r="709">
      <c r="C709" s="7">
        <v>0.00818287037037037</v>
      </c>
      <c r="L709" s="5" t="str">
        <f t="array" ref="L709">XLOOKUP(K709,Skills[Action],Skills[Icon],"")</f>
        <v/>
      </c>
      <c r="N709" s="5" t="str">
        <f t="array" ref="N709">XLOOKUP(M709,Skills[Action],Skills[Icon],"")</f>
        <v/>
      </c>
      <c r="P709" s="5" t="str">
        <f t="array" ref="P709">XLOOKUP(O709,Skills[Action],Skills[Icon],"")</f>
        <v/>
      </c>
      <c r="R709" s="5" t="str">
        <f t="array" ref="R709">XLOOKUP(Q709,Skills[Action],Skills[Icon],"")</f>
        <v/>
      </c>
      <c r="T709" s="5" t="str">
        <f t="array" ref="T709">XLOOKUP(S709,Skills[Action],Skills[Icon],"")</f>
        <v/>
      </c>
      <c r="V709" s="5" t="str">
        <f t="array" ref="V709">XLOOKUP(U709,Skills[Action],Skills[Icon],"")</f>
        <v/>
      </c>
    </row>
    <row r="710">
      <c r="C710" s="7">
        <v>0.008194444444444445</v>
      </c>
      <c r="L710" s="5" t="str">
        <f t="array" ref="L710">XLOOKUP(K710,Skills[Action],Skills[Icon],"")</f>
        <v/>
      </c>
      <c r="N710" s="5" t="str">
        <f t="array" ref="N710">XLOOKUP(M710,Skills[Action],Skills[Icon],"")</f>
        <v/>
      </c>
      <c r="P710" s="5" t="str">
        <f t="array" ref="P710">XLOOKUP(O710,Skills[Action],Skills[Icon],"")</f>
        <v/>
      </c>
      <c r="R710" s="5" t="str">
        <f t="array" ref="R710">XLOOKUP(Q710,Skills[Action],Skills[Icon],"")</f>
        <v/>
      </c>
      <c r="T710" s="5" t="str">
        <f t="array" ref="T710">XLOOKUP(S710,Skills[Action],Skills[Icon],"")</f>
        <v/>
      </c>
      <c r="V710" s="5" t="str">
        <f t="array" ref="V710">XLOOKUP(U710,Skills[Action],Skills[Icon],"")</f>
        <v/>
      </c>
    </row>
    <row r="711">
      <c r="C711" s="7">
        <v>0.008206018518518519</v>
      </c>
      <c r="L711" s="5" t="str">
        <f t="array" ref="L711">XLOOKUP(K711,Skills[Action],Skills[Icon],"")</f>
        <v/>
      </c>
      <c r="N711" s="5" t="str">
        <f t="array" ref="N711">XLOOKUP(M711,Skills[Action],Skills[Icon],"")</f>
        <v/>
      </c>
      <c r="P711" s="5" t="str">
        <f t="array" ref="P711">XLOOKUP(O711,Skills[Action],Skills[Icon],"")</f>
        <v/>
      </c>
      <c r="R711" s="5" t="str">
        <f t="array" ref="R711">XLOOKUP(Q711,Skills[Action],Skills[Icon],"")</f>
        <v/>
      </c>
      <c r="T711" s="5" t="str">
        <f t="array" ref="T711">XLOOKUP(S711,Skills[Action],Skills[Icon],"")</f>
        <v/>
      </c>
      <c r="V711" s="5" t="str">
        <f t="array" ref="V711">XLOOKUP(U711,Skills[Action],Skills[Icon],"")</f>
        <v/>
      </c>
    </row>
    <row r="712">
      <c r="C712" s="7">
        <v>0.008217592592592592</v>
      </c>
      <c r="L712" s="5" t="str">
        <f t="array" ref="L712">XLOOKUP(K712,Skills[Action],Skills[Icon],"")</f>
        <v/>
      </c>
      <c r="N712" s="5" t="str">
        <f t="array" ref="N712">XLOOKUP(M712,Skills[Action],Skills[Icon],"")</f>
        <v/>
      </c>
      <c r="P712" s="5" t="str">
        <f t="array" ref="P712">XLOOKUP(O712,Skills[Action],Skills[Icon],"")</f>
        <v/>
      </c>
      <c r="R712" s="5" t="str">
        <f t="array" ref="R712">XLOOKUP(Q712,Skills[Action],Skills[Icon],"")</f>
        <v/>
      </c>
      <c r="T712" s="5" t="str">
        <f t="array" ref="T712">XLOOKUP(S712,Skills[Action],Skills[Icon],"")</f>
        <v/>
      </c>
      <c r="V712" s="5" t="str">
        <f t="array" ref="V712">XLOOKUP(U712,Skills[Action],Skills[Icon],"")</f>
        <v/>
      </c>
    </row>
    <row r="713">
      <c r="C713" s="7">
        <v>0.008229166666666666</v>
      </c>
      <c r="L713" s="5" t="str">
        <f t="array" ref="L713">XLOOKUP(K713,Skills[Action],Skills[Icon],"")</f>
        <v/>
      </c>
      <c r="N713" s="5" t="str">
        <f t="array" ref="N713">XLOOKUP(M713,Skills[Action],Skills[Icon],"")</f>
        <v/>
      </c>
      <c r="P713" s="5" t="str">
        <f t="array" ref="P713">XLOOKUP(O713,Skills[Action],Skills[Icon],"")</f>
        <v/>
      </c>
      <c r="R713" s="5" t="str">
        <f t="array" ref="R713">XLOOKUP(Q713,Skills[Action],Skills[Icon],"")</f>
        <v/>
      </c>
      <c r="T713" s="5" t="str">
        <f t="array" ref="T713">XLOOKUP(S713,Skills[Action],Skills[Icon],"")</f>
        <v/>
      </c>
      <c r="V713" s="5" t="str">
        <f t="array" ref="V713">XLOOKUP(U713,Skills[Action],Skills[Icon],"")</f>
        <v/>
      </c>
    </row>
    <row r="714">
      <c r="C714" s="7">
        <v>0.008240740740740741</v>
      </c>
      <c r="L714" s="5" t="str">
        <f t="array" ref="L714">XLOOKUP(K714,Skills[Action],Skills[Icon],"")</f>
        <v/>
      </c>
      <c r="N714" s="5" t="str">
        <f t="array" ref="N714">XLOOKUP(M714,Skills[Action],Skills[Icon],"")</f>
        <v/>
      </c>
      <c r="P714" s="5" t="str">
        <f t="array" ref="P714">XLOOKUP(O714,Skills[Action],Skills[Icon],"")</f>
        <v/>
      </c>
      <c r="R714" s="5" t="str">
        <f t="array" ref="R714">XLOOKUP(Q714,Skills[Action],Skills[Icon],"")</f>
        <v/>
      </c>
      <c r="T714" s="5" t="str">
        <f t="array" ref="T714">XLOOKUP(S714,Skills[Action],Skills[Icon],"")</f>
        <v/>
      </c>
      <c r="V714" s="5" t="str">
        <f t="array" ref="V714">XLOOKUP(U714,Skills[Action],Skills[Icon],"")</f>
        <v/>
      </c>
    </row>
    <row r="715">
      <c r="C715" s="7">
        <v>0.008252314814814815</v>
      </c>
      <c r="L715" s="5" t="str">
        <f t="array" ref="L715">XLOOKUP(K715,Skills[Action],Skills[Icon],"")</f>
        <v/>
      </c>
      <c r="N715" s="5" t="str">
        <f t="array" ref="N715">XLOOKUP(M715,Skills[Action],Skills[Icon],"")</f>
        <v/>
      </c>
      <c r="P715" s="5" t="str">
        <f t="array" ref="P715">XLOOKUP(O715,Skills[Action],Skills[Icon],"")</f>
        <v/>
      </c>
      <c r="R715" s="5" t="str">
        <f t="array" ref="R715">XLOOKUP(Q715,Skills[Action],Skills[Icon],"")</f>
        <v/>
      </c>
      <c r="T715" s="5" t="str">
        <f t="array" ref="T715">XLOOKUP(S715,Skills[Action],Skills[Icon],"")</f>
        <v/>
      </c>
      <c r="V715" s="5" t="str">
        <f t="array" ref="V715">XLOOKUP(U715,Skills[Action],Skills[Icon],"")</f>
        <v/>
      </c>
    </row>
    <row r="716">
      <c r="C716" s="7">
        <v>0.008263888888888888</v>
      </c>
      <c r="L716" s="5" t="str">
        <f t="array" ref="L716">XLOOKUP(K716,Skills[Action],Skills[Icon],"")</f>
        <v/>
      </c>
      <c r="N716" s="5" t="str">
        <f t="array" ref="N716">XLOOKUP(M716,Skills[Action],Skills[Icon],"")</f>
        <v/>
      </c>
      <c r="P716" s="5" t="str">
        <f t="array" ref="P716">XLOOKUP(O716,Skills[Action],Skills[Icon],"")</f>
        <v/>
      </c>
      <c r="R716" s="5" t="str">
        <f t="array" ref="R716">XLOOKUP(Q716,Skills[Action],Skills[Icon],"")</f>
        <v/>
      </c>
      <c r="T716" s="5" t="str">
        <f t="array" ref="T716">XLOOKUP(S716,Skills[Action],Skills[Icon],"")</f>
        <v/>
      </c>
      <c r="V716" s="5" t="str">
        <f t="array" ref="V716">XLOOKUP(U716,Skills[Action],Skills[Icon],"")</f>
        <v/>
      </c>
    </row>
    <row r="717">
      <c r="C717" s="7">
        <v>0.008275462962962964</v>
      </c>
      <c r="L717" s="5" t="str">
        <f t="array" ref="L717">XLOOKUP(K717,Skills[Action],Skills[Icon],"")</f>
        <v/>
      </c>
      <c r="N717" s="5" t="str">
        <f t="array" ref="N717">XLOOKUP(M717,Skills[Action],Skills[Icon],"")</f>
        <v/>
      </c>
      <c r="P717" s="5" t="str">
        <f t="array" ref="P717">XLOOKUP(O717,Skills[Action],Skills[Icon],"")</f>
        <v/>
      </c>
      <c r="R717" s="5" t="str">
        <f t="array" ref="R717">XLOOKUP(Q717,Skills[Action],Skills[Icon],"")</f>
        <v/>
      </c>
      <c r="T717" s="5" t="str">
        <f t="array" ref="T717">XLOOKUP(S717,Skills[Action],Skills[Icon],"")</f>
        <v/>
      </c>
      <c r="V717" s="5" t="str">
        <f t="array" ref="V717">XLOOKUP(U717,Skills[Action],Skills[Icon],"")</f>
        <v/>
      </c>
    </row>
    <row r="718">
      <c r="C718" s="7">
        <v>0.008287037037037037</v>
      </c>
      <c r="L718" s="5" t="str">
        <f t="array" ref="L718">XLOOKUP(K718,Skills[Action],Skills[Icon],"")</f>
        <v/>
      </c>
      <c r="N718" s="5" t="str">
        <f t="array" ref="N718">XLOOKUP(M718,Skills[Action],Skills[Icon],"")</f>
        <v/>
      </c>
      <c r="P718" s="5" t="str">
        <f t="array" ref="P718">XLOOKUP(O718,Skills[Action],Skills[Icon],"")</f>
        <v/>
      </c>
      <c r="R718" s="5" t="str">
        <f t="array" ref="R718">XLOOKUP(Q718,Skills[Action],Skills[Icon],"")</f>
        <v/>
      </c>
      <c r="T718" s="5" t="str">
        <f t="array" ref="T718">XLOOKUP(S718,Skills[Action],Skills[Icon],"")</f>
        <v/>
      </c>
      <c r="V718" s="5" t="str">
        <f t="array" ref="V718">XLOOKUP(U718,Skills[Action],Skills[Icon],"")</f>
        <v/>
      </c>
    </row>
    <row r="719">
      <c r="C719" s="7">
        <v>0.00829861111111111</v>
      </c>
      <c r="L719" s="5" t="str">
        <f t="array" ref="L719">XLOOKUP(K719,Skills[Action],Skills[Icon],"")</f>
        <v/>
      </c>
      <c r="N719" s="5" t="str">
        <f t="array" ref="N719">XLOOKUP(M719,Skills[Action],Skills[Icon],"")</f>
        <v/>
      </c>
      <c r="P719" s="5" t="str">
        <f t="array" ref="P719">XLOOKUP(O719,Skills[Action],Skills[Icon],"")</f>
        <v/>
      </c>
      <c r="R719" s="5" t="str">
        <f t="array" ref="R719">XLOOKUP(Q719,Skills[Action],Skills[Icon],"")</f>
        <v/>
      </c>
      <c r="T719" s="5" t="str">
        <f t="array" ref="T719">XLOOKUP(S719,Skills[Action],Skills[Icon],"")</f>
        <v/>
      </c>
      <c r="V719" s="5" t="str">
        <f t="array" ref="V719">XLOOKUP(U719,Skills[Action],Skills[Icon],"")</f>
        <v/>
      </c>
    </row>
    <row r="720">
      <c r="C720" s="7">
        <v>0.008310185185185184</v>
      </c>
      <c r="L720" s="5" t="str">
        <f t="array" ref="L720">XLOOKUP(K720,Skills[Action],Skills[Icon],"")</f>
        <v/>
      </c>
      <c r="N720" s="5" t="str">
        <f t="array" ref="N720">XLOOKUP(M720,Skills[Action],Skills[Icon],"")</f>
        <v/>
      </c>
      <c r="P720" s="5" t="str">
        <f t="array" ref="P720">XLOOKUP(O720,Skills[Action],Skills[Icon],"")</f>
        <v/>
      </c>
      <c r="R720" s="5" t="str">
        <f t="array" ref="R720">XLOOKUP(Q720,Skills[Action],Skills[Icon],"")</f>
        <v/>
      </c>
      <c r="T720" s="5" t="str">
        <f t="array" ref="T720">XLOOKUP(S720,Skills[Action],Skills[Icon],"")</f>
        <v/>
      </c>
      <c r="V720" s="5" t="str">
        <f t="array" ref="V720">XLOOKUP(U720,Skills[Action],Skills[Icon],"")</f>
        <v/>
      </c>
    </row>
    <row r="721">
      <c r="C721" s="7">
        <v>0.00832175925925926</v>
      </c>
      <c r="L721" s="5" t="str">
        <f t="array" ref="L721">XLOOKUP(K721,Skills[Action],Skills[Icon],"")</f>
        <v/>
      </c>
      <c r="N721" s="5" t="str">
        <f t="array" ref="N721">XLOOKUP(M721,Skills[Action],Skills[Icon],"")</f>
        <v/>
      </c>
      <c r="P721" s="5" t="str">
        <f t="array" ref="P721">XLOOKUP(O721,Skills[Action],Skills[Icon],"")</f>
        <v/>
      </c>
      <c r="R721" s="5" t="str">
        <f t="array" ref="R721">XLOOKUP(Q721,Skills[Action],Skills[Icon],"")</f>
        <v/>
      </c>
      <c r="T721" s="5" t="str">
        <f t="array" ref="T721">XLOOKUP(S721,Skills[Action],Skills[Icon],"")</f>
        <v/>
      </c>
      <c r="V721" s="5" t="str">
        <f t="array" ref="V721">XLOOKUP(U721,Skills[Action],Skills[Icon],"")</f>
        <v/>
      </c>
    </row>
    <row r="722">
      <c r="C722" s="7">
        <v>0.008333333333333333</v>
      </c>
      <c r="L722" s="5" t="str">
        <f t="array" ref="L722">XLOOKUP(K722,Skills[Action],Skills[Icon],"")</f>
        <v/>
      </c>
      <c r="N722" s="5" t="str">
        <f t="array" ref="N722">XLOOKUP(M722,Skills[Action],Skills[Icon],"")</f>
        <v/>
      </c>
      <c r="P722" s="5" t="str">
        <f t="array" ref="P722">XLOOKUP(O722,Skills[Action],Skills[Icon],"")</f>
        <v/>
      </c>
      <c r="R722" s="5" t="str">
        <f t="array" ref="R722">XLOOKUP(Q722,Skills[Action],Skills[Icon],"")</f>
        <v/>
      </c>
      <c r="T722" s="5" t="str">
        <f t="array" ref="T722">XLOOKUP(S722,Skills[Action],Skills[Icon],"")</f>
        <v/>
      </c>
      <c r="V722" s="5" t="str">
        <f t="array" ref="V722">XLOOKUP(U722,Skills[Action],Skills[Icon],"")</f>
        <v/>
      </c>
    </row>
    <row r="723">
      <c r="C723" s="7">
        <v>0.008344907407407407</v>
      </c>
      <c r="L723" s="5" t="str">
        <f t="array" ref="L723">XLOOKUP(K723,Skills[Action],Skills[Icon],"")</f>
        <v/>
      </c>
      <c r="N723" s="5" t="str">
        <f t="array" ref="N723">XLOOKUP(M723,Skills[Action],Skills[Icon],"")</f>
        <v/>
      </c>
      <c r="P723" s="5" t="str">
        <f t="array" ref="P723">XLOOKUP(O723,Skills[Action],Skills[Icon],"")</f>
        <v/>
      </c>
      <c r="R723" s="5" t="str">
        <f t="array" ref="R723">XLOOKUP(Q723,Skills[Action],Skills[Icon],"")</f>
        <v/>
      </c>
      <c r="T723" s="5" t="str">
        <f t="array" ref="T723">XLOOKUP(S723,Skills[Action],Skills[Icon],"")</f>
        <v/>
      </c>
      <c r="V723" s="5" t="str">
        <f t="array" ref="V723">XLOOKUP(U723,Skills[Action],Skills[Icon],"")</f>
        <v/>
      </c>
    </row>
    <row r="724">
      <c r="C724" s="7">
        <v>0.008356481481481482</v>
      </c>
      <c r="L724" s="5" t="str">
        <f t="array" ref="L724">XLOOKUP(K724,Skills[Action],Skills[Icon],"")</f>
        <v/>
      </c>
      <c r="N724" s="5" t="str">
        <f t="array" ref="N724">XLOOKUP(M724,Skills[Action],Skills[Icon],"")</f>
        <v/>
      </c>
      <c r="P724" s="5" t="str">
        <f t="array" ref="P724">XLOOKUP(O724,Skills[Action],Skills[Icon],"")</f>
        <v/>
      </c>
      <c r="R724" s="5" t="str">
        <f t="array" ref="R724">XLOOKUP(Q724,Skills[Action],Skills[Icon],"")</f>
        <v/>
      </c>
      <c r="T724" s="5" t="str">
        <f t="array" ref="T724">XLOOKUP(S724,Skills[Action],Skills[Icon],"")</f>
        <v/>
      </c>
      <c r="V724" s="5" t="str">
        <f t="array" ref="V724">XLOOKUP(U724,Skills[Action],Skills[Icon],"")</f>
        <v/>
      </c>
    </row>
    <row r="725">
      <c r="C725" s="7">
        <v>0.008368055555555556</v>
      </c>
      <c r="L725" s="5" t="str">
        <f t="array" ref="L725">XLOOKUP(K725,Skills[Action],Skills[Icon],"")</f>
        <v/>
      </c>
      <c r="N725" s="5" t="str">
        <f t="array" ref="N725">XLOOKUP(M725,Skills[Action],Skills[Icon],"")</f>
        <v/>
      </c>
      <c r="P725" s="5" t="str">
        <f t="array" ref="P725">XLOOKUP(O725,Skills[Action],Skills[Icon],"")</f>
        <v/>
      </c>
      <c r="R725" s="5" t="str">
        <f t="array" ref="R725">XLOOKUP(Q725,Skills[Action],Skills[Icon],"")</f>
        <v/>
      </c>
      <c r="T725" s="5" t="str">
        <f t="array" ref="T725">XLOOKUP(S725,Skills[Action],Skills[Icon],"")</f>
        <v/>
      </c>
      <c r="V725" s="5" t="str">
        <f t="array" ref="V725">XLOOKUP(U725,Skills[Action],Skills[Icon],"")</f>
        <v/>
      </c>
    </row>
    <row r="726">
      <c r="C726" s="7">
        <v>0.00837962962962963</v>
      </c>
      <c r="L726" s="5" t="str">
        <f t="array" ref="L726">XLOOKUP(K726,Skills[Action],Skills[Icon],"")</f>
        <v/>
      </c>
      <c r="N726" s="5" t="str">
        <f t="array" ref="N726">XLOOKUP(M726,Skills[Action],Skills[Icon],"")</f>
        <v/>
      </c>
      <c r="P726" s="5" t="str">
        <f t="array" ref="P726">XLOOKUP(O726,Skills[Action],Skills[Icon],"")</f>
        <v/>
      </c>
      <c r="R726" s="5" t="str">
        <f t="array" ref="R726">XLOOKUP(Q726,Skills[Action],Skills[Icon],"")</f>
        <v/>
      </c>
      <c r="T726" s="5" t="str">
        <f t="array" ref="T726">XLOOKUP(S726,Skills[Action],Skills[Icon],"")</f>
        <v/>
      </c>
      <c r="V726" s="5" t="str">
        <f t="array" ref="V726">XLOOKUP(U726,Skills[Action],Skills[Icon],"")</f>
        <v/>
      </c>
    </row>
    <row r="727">
      <c r="C727" s="7">
        <v>0.008391203703703705</v>
      </c>
      <c r="L727" s="5" t="str">
        <f t="array" ref="L727">XLOOKUP(K727,Skills[Action],Skills[Icon],"")</f>
        <v/>
      </c>
      <c r="N727" s="5" t="str">
        <f t="array" ref="N727">XLOOKUP(M727,Skills[Action],Skills[Icon],"")</f>
        <v/>
      </c>
      <c r="P727" s="5" t="str">
        <f t="array" ref="P727">XLOOKUP(O727,Skills[Action],Skills[Icon],"")</f>
        <v/>
      </c>
      <c r="R727" s="5" t="str">
        <f t="array" ref="R727">XLOOKUP(Q727,Skills[Action],Skills[Icon],"")</f>
        <v/>
      </c>
      <c r="T727" s="5" t="str">
        <f t="array" ref="T727">XLOOKUP(S727,Skills[Action],Skills[Icon],"")</f>
        <v/>
      </c>
      <c r="V727" s="5" t="str">
        <f t="array" ref="V727">XLOOKUP(U727,Skills[Action],Skills[Icon],"")</f>
        <v/>
      </c>
    </row>
    <row r="728">
      <c r="C728" s="7">
        <v>0.008402777777777778</v>
      </c>
      <c r="L728" s="5" t="str">
        <f t="array" ref="L728">XLOOKUP(K728,Skills[Action],Skills[Icon],"")</f>
        <v/>
      </c>
      <c r="N728" s="5" t="str">
        <f t="array" ref="N728">XLOOKUP(M728,Skills[Action],Skills[Icon],"")</f>
        <v/>
      </c>
      <c r="P728" s="5" t="str">
        <f t="array" ref="P728">XLOOKUP(O728,Skills[Action],Skills[Icon],"")</f>
        <v/>
      </c>
      <c r="R728" s="5" t="str">
        <f t="array" ref="R728">XLOOKUP(Q728,Skills[Action],Skills[Icon],"")</f>
        <v/>
      </c>
      <c r="T728" s="5" t="str">
        <f t="array" ref="T728">XLOOKUP(S728,Skills[Action],Skills[Icon],"")</f>
        <v/>
      </c>
      <c r="V728" s="5" t="str">
        <f t="array" ref="V728">XLOOKUP(U728,Skills[Action],Skills[Icon],"")</f>
        <v/>
      </c>
    </row>
    <row r="729">
      <c r="C729" s="7">
        <v>0.008414351851851852</v>
      </c>
      <c r="L729" s="5" t="str">
        <f t="array" ref="L729">XLOOKUP(K729,Skills[Action],Skills[Icon],"")</f>
        <v/>
      </c>
      <c r="N729" s="5" t="str">
        <f t="array" ref="N729">XLOOKUP(M729,Skills[Action],Skills[Icon],"")</f>
        <v/>
      </c>
      <c r="P729" s="5" t="str">
        <f t="array" ref="P729">XLOOKUP(O729,Skills[Action],Skills[Icon],"")</f>
        <v/>
      </c>
      <c r="R729" s="5" t="str">
        <f t="array" ref="R729">XLOOKUP(Q729,Skills[Action],Skills[Icon],"")</f>
        <v/>
      </c>
      <c r="T729" s="5" t="str">
        <f t="array" ref="T729">XLOOKUP(S729,Skills[Action],Skills[Icon],"")</f>
        <v/>
      </c>
      <c r="V729" s="5" t="str">
        <f t="array" ref="V729">XLOOKUP(U729,Skills[Action],Skills[Icon],"")</f>
        <v/>
      </c>
    </row>
    <row r="730">
      <c r="C730" s="7">
        <v>0.008425925925925925</v>
      </c>
      <c r="L730" s="5" t="str">
        <f t="array" ref="L730">XLOOKUP(K730,Skills[Action],Skills[Icon],"")</f>
        <v/>
      </c>
      <c r="N730" s="5" t="str">
        <f t="array" ref="N730">XLOOKUP(M730,Skills[Action],Skills[Icon],"")</f>
        <v/>
      </c>
      <c r="P730" s="5" t="str">
        <f t="array" ref="P730">XLOOKUP(O730,Skills[Action],Skills[Icon],"")</f>
        <v/>
      </c>
      <c r="R730" s="5" t="str">
        <f t="array" ref="R730">XLOOKUP(Q730,Skills[Action],Skills[Icon],"")</f>
        <v/>
      </c>
      <c r="T730" s="5" t="str">
        <f t="array" ref="T730">XLOOKUP(S730,Skills[Action],Skills[Icon],"")</f>
        <v/>
      </c>
      <c r="V730" s="5" t="str">
        <f t="array" ref="V730">XLOOKUP(U730,Skills[Action],Skills[Icon],"")</f>
        <v/>
      </c>
    </row>
    <row r="731">
      <c r="C731" s="7">
        <v>0.0084375</v>
      </c>
      <c r="L731" s="5" t="str">
        <f t="array" ref="L731">XLOOKUP(K731,Skills[Action],Skills[Icon],"")</f>
        <v/>
      </c>
      <c r="N731" s="5" t="str">
        <f t="array" ref="N731">XLOOKUP(M731,Skills[Action],Skills[Icon],"")</f>
        <v/>
      </c>
      <c r="P731" s="5" t="str">
        <f t="array" ref="P731">XLOOKUP(O731,Skills[Action],Skills[Icon],"")</f>
        <v/>
      </c>
      <c r="R731" s="5" t="str">
        <f t="array" ref="R731">XLOOKUP(Q731,Skills[Action],Skills[Icon],"")</f>
        <v/>
      </c>
      <c r="T731" s="5" t="str">
        <f t="array" ref="T731">XLOOKUP(S731,Skills[Action],Skills[Icon],"")</f>
        <v/>
      </c>
      <c r="V731" s="5" t="str">
        <f t="array" ref="V731">XLOOKUP(U731,Skills[Action],Skills[Icon],"")</f>
        <v/>
      </c>
    </row>
    <row r="732">
      <c r="C732" s="7">
        <v>0.008449074074074074</v>
      </c>
      <c r="L732" s="5" t="str">
        <f t="array" ref="L732">XLOOKUP(K732,Skills[Action],Skills[Icon],"")</f>
        <v/>
      </c>
      <c r="N732" s="5" t="str">
        <f t="array" ref="N732">XLOOKUP(M732,Skills[Action],Skills[Icon],"")</f>
        <v/>
      </c>
      <c r="P732" s="5" t="str">
        <f t="array" ref="P732">XLOOKUP(O732,Skills[Action],Skills[Icon],"")</f>
        <v/>
      </c>
      <c r="R732" s="5" t="str">
        <f t="array" ref="R732">XLOOKUP(Q732,Skills[Action],Skills[Icon],"")</f>
        <v/>
      </c>
      <c r="T732" s="5" t="str">
        <f t="array" ref="T732">XLOOKUP(S732,Skills[Action],Skills[Icon],"")</f>
        <v/>
      </c>
      <c r="V732" s="5" t="str">
        <f t="array" ref="V732">XLOOKUP(U732,Skills[Action],Skills[Icon],"")</f>
        <v/>
      </c>
    </row>
    <row r="733">
      <c r="C733" s="7">
        <v>0.008460648148148148</v>
      </c>
      <c r="L733" s="5" t="str">
        <f t="array" ref="L733">XLOOKUP(K733,Skills[Action],Skills[Icon],"")</f>
        <v/>
      </c>
      <c r="N733" s="5" t="str">
        <f t="array" ref="N733">XLOOKUP(M733,Skills[Action],Skills[Icon],"")</f>
        <v/>
      </c>
      <c r="P733" s="5" t="str">
        <f t="array" ref="P733">XLOOKUP(O733,Skills[Action],Skills[Icon],"")</f>
        <v/>
      </c>
      <c r="R733" s="5" t="str">
        <f t="array" ref="R733">XLOOKUP(Q733,Skills[Action],Skills[Icon],"")</f>
        <v/>
      </c>
      <c r="T733" s="5" t="str">
        <f t="array" ref="T733">XLOOKUP(S733,Skills[Action],Skills[Icon],"")</f>
        <v/>
      </c>
      <c r="V733" s="5" t="str">
        <f t="array" ref="V733">XLOOKUP(U733,Skills[Action],Skills[Icon],"")</f>
        <v/>
      </c>
    </row>
    <row r="734">
      <c r="C734" s="7">
        <v>0.008472222222222223</v>
      </c>
      <c r="L734" s="5" t="str">
        <f t="array" ref="L734">XLOOKUP(K734,Skills[Action],Skills[Icon],"")</f>
        <v/>
      </c>
      <c r="N734" s="5" t="str">
        <f t="array" ref="N734">XLOOKUP(M734,Skills[Action],Skills[Icon],"")</f>
        <v/>
      </c>
      <c r="P734" s="5" t="str">
        <f t="array" ref="P734">XLOOKUP(O734,Skills[Action],Skills[Icon],"")</f>
        <v/>
      </c>
      <c r="R734" s="5" t="str">
        <f t="array" ref="R734">XLOOKUP(Q734,Skills[Action],Skills[Icon],"")</f>
        <v/>
      </c>
      <c r="T734" s="5" t="str">
        <f t="array" ref="T734">XLOOKUP(S734,Skills[Action],Skills[Icon],"")</f>
        <v/>
      </c>
      <c r="V734" s="5" t="str">
        <f t="array" ref="V734">XLOOKUP(U734,Skills[Action],Skills[Icon],"")</f>
        <v/>
      </c>
    </row>
    <row r="735">
      <c r="C735" s="7">
        <v>0.008483796296296297</v>
      </c>
      <c r="L735" s="5" t="str">
        <f t="array" ref="L735">XLOOKUP(K735,Skills[Action],Skills[Icon],"")</f>
        <v/>
      </c>
      <c r="N735" s="5" t="str">
        <f t="array" ref="N735">XLOOKUP(M735,Skills[Action],Skills[Icon],"")</f>
        <v/>
      </c>
      <c r="P735" s="5" t="str">
        <f t="array" ref="P735">XLOOKUP(O735,Skills[Action],Skills[Icon],"")</f>
        <v/>
      </c>
      <c r="R735" s="5" t="str">
        <f t="array" ref="R735">XLOOKUP(Q735,Skills[Action],Skills[Icon],"")</f>
        <v/>
      </c>
      <c r="T735" s="5" t="str">
        <f t="array" ref="T735">XLOOKUP(S735,Skills[Action],Skills[Icon],"")</f>
        <v/>
      </c>
      <c r="V735" s="5" t="str">
        <f t="array" ref="V735">XLOOKUP(U735,Skills[Action],Skills[Icon],"")</f>
        <v/>
      </c>
    </row>
    <row r="736">
      <c r="C736" s="7">
        <v>0.00849537037037037</v>
      </c>
      <c r="L736" s="5" t="str">
        <f t="array" ref="L736">XLOOKUP(K736,Skills[Action],Skills[Icon],"")</f>
        <v/>
      </c>
      <c r="N736" s="5" t="str">
        <f t="array" ref="N736">XLOOKUP(M736,Skills[Action],Skills[Icon],"")</f>
        <v/>
      </c>
      <c r="P736" s="5" t="str">
        <f t="array" ref="P736">XLOOKUP(O736,Skills[Action],Skills[Icon],"")</f>
        <v/>
      </c>
      <c r="R736" s="5" t="str">
        <f t="array" ref="R736">XLOOKUP(Q736,Skills[Action],Skills[Icon],"")</f>
        <v/>
      </c>
      <c r="T736" s="5" t="str">
        <f t="array" ref="T736">XLOOKUP(S736,Skills[Action],Skills[Icon],"")</f>
        <v/>
      </c>
      <c r="V736" s="5" t="str">
        <f t="array" ref="V736">XLOOKUP(U736,Skills[Action],Skills[Icon],"")</f>
        <v/>
      </c>
    </row>
    <row r="737">
      <c r="C737" s="7">
        <v>0.008506944444444444</v>
      </c>
      <c r="L737" s="5" t="str">
        <f t="array" ref="L737">XLOOKUP(K737,Skills[Action],Skills[Icon],"")</f>
        <v/>
      </c>
      <c r="N737" s="5" t="str">
        <f t="array" ref="N737">XLOOKUP(M737,Skills[Action],Skills[Icon],"")</f>
        <v/>
      </c>
      <c r="P737" s="5" t="str">
        <f t="array" ref="P737">XLOOKUP(O737,Skills[Action],Skills[Icon],"")</f>
        <v/>
      </c>
      <c r="R737" s="5" t="str">
        <f t="array" ref="R737">XLOOKUP(Q737,Skills[Action],Skills[Icon],"")</f>
        <v/>
      </c>
      <c r="T737" s="5" t="str">
        <f t="array" ref="T737">XLOOKUP(S737,Skills[Action],Skills[Icon],"")</f>
        <v/>
      </c>
      <c r="V737" s="5" t="str">
        <f t="array" ref="V737">XLOOKUP(U737,Skills[Action],Skills[Icon],"")</f>
        <v/>
      </c>
    </row>
    <row r="738">
      <c r="C738" s="7">
        <v>0.008518518518518519</v>
      </c>
      <c r="L738" s="5" t="str">
        <f t="array" ref="L738">XLOOKUP(K738,Skills[Action],Skills[Icon],"")</f>
        <v/>
      </c>
      <c r="N738" s="5" t="str">
        <f t="array" ref="N738">XLOOKUP(M738,Skills[Action],Skills[Icon],"")</f>
        <v/>
      </c>
      <c r="P738" s="5" t="str">
        <f t="array" ref="P738">XLOOKUP(O738,Skills[Action],Skills[Icon],"")</f>
        <v/>
      </c>
      <c r="R738" s="5" t="str">
        <f t="array" ref="R738">XLOOKUP(Q738,Skills[Action],Skills[Icon],"")</f>
        <v/>
      </c>
      <c r="T738" s="5" t="str">
        <f t="array" ref="T738">XLOOKUP(S738,Skills[Action],Skills[Icon],"")</f>
        <v/>
      </c>
      <c r="V738" s="5" t="str">
        <f t="array" ref="V738">XLOOKUP(U738,Skills[Action],Skills[Icon],"")</f>
        <v/>
      </c>
    </row>
    <row r="739">
      <c r="C739" s="7">
        <v>0.008530092592592593</v>
      </c>
      <c r="L739" s="5" t="str">
        <f t="array" ref="L739">XLOOKUP(K739,Skills[Action],Skills[Icon],"")</f>
        <v/>
      </c>
      <c r="N739" s="5" t="str">
        <f t="array" ref="N739">XLOOKUP(M739,Skills[Action],Skills[Icon],"")</f>
        <v/>
      </c>
      <c r="P739" s="5" t="str">
        <f t="array" ref="P739">XLOOKUP(O739,Skills[Action],Skills[Icon],"")</f>
        <v/>
      </c>
      <c r="R739" s="5" t="str">
        <f t="array" ref="R739">XLOOKUP(Q739,Skills[Action],Skills[Icon],"")</f>
        <v/>
      </c>
      <c r="T739" s="5" t="str">
        <f t="array" ref="T739">XLOOKUP(S739,Skills[Action],Skills[Icon],"")</f>
        <v/>
      </c>
      <c r="V739" s="5" t="str">
        <f t="array" ref="V739">XLOOKUP(U739,Skills[Action],Skills[Icon],"")</f>
        <v/>
      </c>
    </row>
    <row r="740">
      <c r="C740" s="7">
        <v>0.008541666666666666</v>
      </c>
      <c r="L740" s="5" t="str">
        <f t="array" ref="L740">XLOOKUP(K740,Skills[Action],Skills[Icon],"")</f>
        <v/>
      </c>
      <c r="N740" s="5" t="str">
        <f t="array" ref="N740">XLOOKUP(M740,Skills[Action],Skills[Icon],"")</f>
        <v/>
      </c>
      <c r="P740" s="5" t="str">
        <f t="array" ref="P740">XLOOKUP(O740,Skills[Action],Skills[Icon],"")</f>
        <v/>
      </c>
      <c r="R740" s="5" t="str">
        <f t="array" ref="R740">XLOOKUP(Q740,Skills[Action],Skills[Icon],"")</f>
        <v/>
      </c>
      <c r="T740" s="5" t="str">
        <f t="array" ref="T740">XLOOKUP(S740,Skills[Action],Skills[Icon],"")</f>
        <v/>
      </c>
      <c r="V740" s="5" t="str">
        <f t="array" ref="V740">XLOOKUP(U740,Skills[Action],Skills[Icon],"")</f>
        <v/>
      </c>
    </row>
    <row r="741">
      <c r="C741" s="7">
        <v>0.008553240740740741</v>
      </c>
      <c r="L741" s="5" t="str">
        <f t="array" ref="L741">XLOOKUP(K741,Skills[Action],Skills[Icon],"")</f>
        <v/>
      </c>
      <c r="N741" s="5" t="str">
        <f t="array" ref="N741">XLOOKUP(M741,Skills[Action],Skills[Icon],"")</f>
        <v/>
      </c>
      <c r="P741" s="5" t="str">
        <f t="array" ref="P741">XLOOKUP(O741,Skills[Action],Skills[Icon],"")</f>
        <v/>
      </c>
      <c r="R741" s="5" t="str">
        <f t="array" ref="R741">XLOOKUP(Q741,Skills[Action],Skills[Icon],"")</f>
        <v/>
      </c>
      <c r="T741" s="5" t="str">
        <f t="array" ref="T741">XLOOKUP(S741,Skills[Action],Skills[Icon],"")</f>
        <v/>
      </c>
      <c r="V741" s="5" t="str">
        <f t="array" ref="V741">XLOOKUP(U741,Skills[Action],Skills[Icon],"")</f>
        <v/>
      </c>
    </row>
    <row r="742">
      <c r="C742" s="7">
        <v>0.008564814814814815</v>
      </c>
      <c r="L742" s="5" t="str">
        <f t="array" ref="L742">XLOOKUP(K742,Skills[Action],Skills[Icon],"")</f>
        <v/>
      </c>
      <c r="N742" s="5" t="str">
        <f t="array" ref="N742">XLOOKUP(M742,Skills[Action],Skills[Icon],"")</f>
        <v/>
      </c>
      <c r="P742" s="5" t="str">
        <f t="array" ref="P742">XLOOKUP(O742,Skills[Action],Skills[Icon],"")</f>
        <v/>
      </c>
      <c r="R742" s="5" t="str">
        <f t="array" ref="R742">XLOOKUP(Q742,Skills[Action],Skills[Icon],"")</f>
        <v/>
      </c>
      <c r="T742" s="5" t="str">
        <f t="array" ref="T742">XLOOKUP(S742,Skills[Action],Skills[Icon],"")</f>
        <v/>
      </c>
      <c r="V742" s="5" t="str">
        <f t="array" ref="V742">XLOOKUP(U742,Skills[Action],Skills[Icon],"")</f>
        <v/>
      </c>
    </row>
    <row r="743">
      <c r="C743" s="7">
        <v>0.008576388888888889</v>
      </c>
      <c r="L743" s="5" t="str">
        <f t="array" ref="L743">XLOOKUP(K743,Skills[Action],Skills[Icon],"")</f>
        <v/>
      </c>
      <c r="N743" s="5" t="str">
        <f t="array" ref="N743">XLOOKUP(M743,Skills[Action],Skills[Icon],"")</f>
        <v/>
      </c>
      <c r="P743" s="5" t="str">
        <f t="array" ref="P743">XLOOKUP(O743,Skills[Action],Skills[Icon],"")</f>
        <v/>
      </c>
      <c r="R743" s="5" t="str">
        <f t="array" ref="R743">XLOOKUP(Q743,Skills[Action],Skills[Icon],"")</f>
        <v/>
      </c>
      <c r="T743" s="5" t="str">
        <f t="array" ref="T743">XLOOKUP(S743,Skills[Action],Skills[Icon],"")</f>
        <v/>
      </c>
      <c r="V743" s="5" t="str">
        <f t="array" ref="V743">XLOOKUP(U743,Skills[Action],Skills[Icon],"")</f>
        <v/>
      </c>
    </row>
    <row r="744">
      <c r="C744" s="7">
        <v>0.008587962962962962</v>
      </c>
      <c r="L744" s="5" t="str">
        <f t="array" ref="L744">XLOOKUP(K744,Skills[Action],Skills[Icon],"")</f>
        <v/>
      </c>
      <c r="N744" s="5" t="str">
        <f t="array" ref="N744">XLOOKUP(M744,Skills[Action],Skills[Icon],"")</f>
        <v/>
      </c>
      <c r="P744" s="5" t="str">
        <f t="array" ref="P744">XLOOKUP(O744,Skills[Action],Skills[Icon],"")</f>
        <v/>
      </c>
      <c r="R744" s="5" t="str">
        <f t="array" ref="R744">XLOOKUP(Q744,Skills[Action],Skills[Icon],"")</f>
        <v/>
      </c>
      <c r="T744" s="5" t="str">
        <f t="array" ref="T744">XLOOKUP(S744,Skills[Action],Skills[Icon],"")</f>
        <v/>
      </c>
      <c r="V744" s="5" t="str">
        <f t="array" ref="V744">XLOOKUP(U744,Skills[Action],Skills[Icon],"")</f>
        <v/>
      </c>
    </row>
    <row r="745">
      <c r="C745" s="7">
        <v>0.008599537037037037</v>
      </c>
      <c r="L745" s="5" t="str">
        <f t="array" ref="L745">XLOOKUP(K745,Skills[Action],Skills[Icon],"")</f>
        <v/>
      </c>
      <c r="N745" s="5" t="str">
        <f t="array" ref="N745">XLOOKUP(M745,Skills[Action],Skills[Icon],"")</f>
        <v/>
      </c>
      <c r="P745" s="5" t="str">
        <f t="array" ref="P745">XLOOKUP(O745,Skills[Action],Skills[Icon],"")</f>
        <v/>
      </c>
      <c r="R745" s="5" t="str">
        <f t="array" ref="R745">XLOOKUP(Q745,Skills[Action],Skills[Icon],"")</f>
        <v/>
      </c>
      <c r="T745" s="5" t="str">
        <f t="array" ref="T745">XLOOKUP(S745,Skills[Action],Skills[Icon],"")</f>
        <v/>
      </c>
      <c r="V745" s="5" t="str">
        <f t="array" ref="V745">XLOOKUP(U745,Skills[Action],Skills[Icon],"")</f>
        <v/>
      </c>
    </row>
    <row r="746">
      <c r="C746" s="7">
        <v>0.008611111111111111</v>
      </c>
      <c r="L746" s="5" t="str">
        <f t="array" ref="L746">XLOOKUP(K746,Skills[Action],Skills[Icon],"")</f>
        <v/>
      </c>
      <c r="N746" s="5" t="str">
        <f t="array" ref="N746">XLOOKUP(M746,Skills[Action],Skills[Icon],"")</f>
        <v/>
      </c>
      <c r="P746" s="5" t="str">
        <f t="array" ref="P746">XLOOKUP(O746,Skills[Action],Skills[Icon],"")</f>
        <v/>
      </c>
      <c r="R746" s="5" t="str">
        <f t="array" ref="R746">XLOOKUP(Q746,Skills[Action],Skills[Icon],"")</f>
        <v/>
      </c>
      <c r="T746" s="5" t="str">
        <f t="array" ref="T746">XLOOKUP(S746,Skills[Action],Skills[Icon],"")</f>
        <v/>
      </c>
      <c r="V746" s="5" t="str">
        <f t="array" ref="V746">XLOOKUP(U746,Skills[Action],Skills[Icon],"")</f>
        <v/>
      </c>
    </row>
    <row r="747">
      <c r="C747" s="7">
        <v>0.008622685185185185</v>
      </c>
      <c r="L747" s="5" t="str">
        <f t="array" ref="L747">XLOOKUP(K747,Skills[Action],Skills[Icon],"")</f>
        <v/>
      </c>
      <c r="N747" s="5" t="str">
        <f t="array" ref="N747">XLOOKUP(M747,Skills[Action],Skills[Icon],"")</f>
        <v/>
      </c>
      <c r="P747" s="5" t="str">
        <f t="array" ref="P747">XLOOKUP(O747,Skills[Action],Skills[Icon],"")</f>
        <v/>
      </c>
      <c r="R747" s="5" t="str">
        <f t="array" ref="R747">XLOOKUP(Q747,Skills[Action],Skills[Icon],"")</f>
        <v/>
      </c>
      <c r="T747" s="5" t="str">
        <f t="array" ref="T747">XLOOKUP(S747,Skills[Action],Skills[Icon],"")</f>
        <v/>
      </c>
      <c r="V747" s="5" t="str">
        <f t="array" ref="V747">XLOOKUP(U747,Skills[Action],Skills[Icon],"")</f>
        <v/>
      </c>
    </row>
    <row r="748">
      <c r="C748" s="7">
        <v>0.00863425925925926</v>
      </c>
      <c r="L748" s="5" t="str">
        <f t="array" ref="L748">XLOOKUP(K748,Skills[Action],Skills[Icon],"")</f>
        <v/>
      </c>
      <c r="N748" s="5" t="str">
        <f t="array" ref="N748">XLOOKUP(M748,Skills[Action],Skills[Icon],"")</f>
        <v/>
      </c>
      <c r="P748" s="5" t="str">
        <f t="array" ref="P748">XLOOKUP(O748,Skills[Action],Skills[Icon],"")</f>
        <v/>
      </c>
      <c r="R748" s="5" t="str">
        <f t="array" ref="R748">XLOOKUP(Q748,Skills[Action],Skills[Icon],"")</f>
        <v/>
      </c>
      <c r="T748" s="5" t="str">
        <f t="array" ref="T748">XLOOKUP(S748,Skills[Action],Skills[Icon],"")</f>
        <v/>
      </c>
      <c r="V748" s="5" t="str">
        <f t="array" ref="V748">XLOOKUP(U748,Skills[Action],Skills[Icon],"")</f>
        <v/>
      </c>
    </row>
    <row r="749">
      <c r="C749" s="7">
        <v>0.008645833333333333</v>
      </c>
      <c r="L749" s="5" t="str">
        <f t="array" ref="L749">XLOOKUP(K749,Skills[Action],Skills[Icon],"")</f>
        <v/>
      </c>
      <c r="N749" s="5" t="str">
        <f t="array" ref="N749">XLOOKUP(M749,Skills[Action],Skills[Icon],"")</f>
        <v/>
      </c>
      <c r="P749" s="5" t="str">
        <f t="array" ref="P749">XLOOKUP(O749,Skills[Action],Skills[Icon],"")</f>
        <v/>
      </c>
      <c r="R749" s="5" t="str">
        <f t="array" ref="R749">XLOOKUP(Q749,Skills[Action],Skills[Icon],"")</f>
        <v/>
      </c>
      <c r="T749" s="5" t="str">
        <f t="array" ref="T749">XLOOKUP(S749,Skills[Action],Skills[Icon],"")</f>
        <v/>
      </c>
      <c r="V749" s="5" t="str">
        <f t="array" ref="V749">XLOOKUP(U749,Skills[Action],Skills[Icon],"")</f>
        <v/>
      </c>
    </row>
    <row r="750">
      <c r="C750" s="7">
        <v>0.008657407407407407</v>
      </c>
      <c r="L750" s="5" t="str">
        <f t="array" ref="L750">XLOOKUP(K750,Skills[Action],Skills[Icon],"")</f>
        <v/>
      </c>
      <c r="N750" s="5" t="str">
        <f t="array" ref="N750">XLOOKUP(M750,Skills[Action],Skills[Icon],"")</f>
        <v/>
      </c>
      <c r="P750" s="5" t="str">
        <f t="array" ref="P750">XLOOKUP(O750,Skills[Action],Skills[Icon],"")</f>
        <v/>
      </c>
      <c r="R750" s="5" t="str">
        <f t="array" ref="R750">XLOOKUP(Q750,Skills[Action],Skills[Icon],"")</f>
        <v/>
      </c>
      <c r="T750" s="5" t="str">
        <f t="array" ref="T750">XLOOKUP(S750,Skills[Action],Skills[Icon],"")</f>
        <v/>
      </c>
      <c r="V750" s="5" t="str">
        <f t="array" ref="V750">XLOOKUP(U750,Skills[Action],Skills[Icon],"")</f>
        <v/>
      </c>
    </row>
    <row r="751">
      <c r="C751" s="7">
        <v>0.00866898148148148</v>
      </c>
      <c r="L751" s="5" t="str">
        <f t="array" ref="L751">XLOOKUP(K751,Skills[Action],Skills[Icon],"")</f>
        <v/>
      </c>
      <c r="N751" s="5" t="str">
        <f t="array" ref="N751">XLOOKUP(M751,Skills[Action],Skills[Icon],"")</f>
        <v/>
      </c>
      <c r="P751" s="5" t="str">
        <f t="array" ref="P751">XLOOKUP(O751,Skills[Action],Skills[Icon],"")</f>
        <v/>
      </c>
      <c r="R751" s="5" t="str">
        <f t="array" ref="R751">XLOOKUP(Q751,Skills[Action],Skills[Icon],"")</f>
        <v/>
      </c>
      <c r="T751" s="5" t="str">
        <f t="array" ref="T751">XLOOKUP(S751,Skills[Action],Skills[Icon],"")</f>
        <v/>
      </c>
      <c r="V751" s="5" t="str">
        <f t="array" ref="V751">XLOOKUP(U751,Skills[Action],Skills[Icon],"")</f>
        <v/>
      </c>
    </row>
    <row r="752">
      <c r="C752" s="7">
        <v>0.008680555555555556</v>
      </c>
      <c r="L752" s="5" t="str">
        <f t="array" ref="L752">XLOOKUP(K752,Skills[Action],Skills[Icon],"")</f>
        <v/>
      </c>
      <c r="N752" s="5" t="str">
        <f t="array" ref="N752">XLOOKUP(M752,Skills[Action],Skills[Icon],"")</f>
        <v/>
      </c>
      <c r="P752" s="5" t="str">
        <f t="array" ref="P752">XLOOKUP(O752,Skills[Action],Skills[Icon],"")</f>
        <v/>
      </c>
      <c r="R752" s="5" t="str">
        <f t="array" ref="R752">XLOOKUP(Q752,Skills[Action],Skills[Icon],"")</f>
        <v/>
      </c>
      <c r="T752" s="5" t="str">
        <f t="array" ref="T752">XLOOKUP(S752,Skills[Action],Skills[Icon],"")</f>
        <v/>
      </c>
      <c r="V752" s="5" t="str">
        <f t="array" ref="V752">XLOOKUP(U752,Skills[Action],Skills[Icon],"")</f>
        <v/>
      </c>
    </row>
    <row r="753">
      <c r="C753" s="7">
        <v>0.00869212962962963</v>
      </c>
      <c r="L753" s="5" t="str">
        <f t="array" ref="L753">XLOOKUP(K753,Skills[Action],Skills[Icon],"")</f>
        <v/>
      </c>
      <c r="N753" s="5" t="str">
        <f t="array" ref="N753">XLOOKUP(M753,Skills[Action],Skills[Icon],"")</f>
        <v/>
      </c>
      <c r="P753" s="5" t="str">
        <f t="array" ref="P753">XLOOKUP(O753,Skills[Action],Skills[Icon],"")</f>
        <v/>
      </c>
      <c r="R753" s="5" t="str">
        <f t="array" ref="R753">XLOOKUP(Q753,Skills[Action],Skills[Icon],"")</f>
        <v/>
      </c>
      <c r="T753" s="5" t="str">
        <f t="array" ref="T753">XLOOKUP(S753,Skills[Action],Skills[Icon],"")</f>
        <v/>
      </c>
      <c r="V753" s="5" t="str">
        <f t="array" ref="V753">XLOOKUP(U753,Skills[Action],Skills[Icon],"")</f>
        <v/>
      </c>
    </row>
    <row r="754">
      <c r="C754" s="7">
        <v>0.008703703703703703</v>
      </c>
      <c r="L754" s="5" t="str">
        <f t="array" ref="L754">XLOOKUP(K754,Skills[Action],Skills[Icon],"")</f>
        <v/>
      </c>
      <c r="N754" s="5" t="str">
        <f t="array" ref="N754">XLOOKUP(M754,Skills[Action],Skills[Icon],"")</f>
        <v/>
      </c>
      <c r="P754" s="5" t="str">
        <f t="array" ref="P754">XLOOKUP(O754,Skills[Action],Skills[Icon],"")</f>
        <v/>
      </c>
      <c r="R754" s="5" t="str">
        <f t="array" ref="R754">XLOOKUP(Q754,Skills[Action],Skills[Icon],"")</f>
        <v/>
      </c>
      <c r="T754" s="5" t="str">
        <f t="array" ref="T754">XLOOKUP(S754,Skills[Action],Skills[Icon],"")</f>
        <v/>
      </c>
      <c r="V754" s="5" t="str">
        <f t="array" ref="V754">XLOOKUP(U754,Skills[Action],Skills[Icon],"")</f>
        <v/>
      </c>
    </row>
    <row r="755">
      <c r="C755" s="7">
        <v>0.008715277777777778</v>
      </c>
      <c r="L755" s="5" t="str">
        <f t="array" ref="L755">XLOOKUP(K755,Skills[Action],Skills[Icon],"")</f>
        <v/>
      </c>
      <c r="N755" s="5" t="str">
        <f t="array" ref="N755">XLOOKUP(M755,Skills[Action],Skills[Icon],"")</f>
        <v/>
      </c>
      <c r="P755" s="5" t="str">
        <f t="array" ref="P755">XLOOKUP(O755,Skills[Action],Skills[Icon],"")</f>
        <v/>
      </c>
      <c r="R755" s="5" t="str">
        <f t="array" ref="R755">XLOOKUP(Q755,Skills[Action],Skills[Icon],"")</f>
        <v/>
      </c>
      <c r="T755" s="5" t="str">
        <f t="array" ref="T755">XLOOKUP(S755,Skills[Action],Skills[Icon],"")</f>
        <v/>
      </c>
      <c r="V755" s="5" t="str">
        <f t="array" ref="V755">XLOOKUP(U755,Skills[Action],Skills[Icon],"")</f>
        <v/>
      </c>
    </row>
    <row r="756">
      <c r="C756" s="7">
        <v>0.008726851851851852</v>
      </c>
      <c r="L756" s="5" t="str">
        <f t="array" ref="L756">XLOOKUP(K756,Skills[Action],Skills[Icon],"")</f>
        <v/>
      </c>
      <c r="N756" s="5" t="str">
        <f t="array" ref="N756">XLOOKUP(M756,Skills[Action],Skills[Icon],"")</f>
        <v/>
      </c>
      <c r="P756" s="5" t="str">
        <f t="array" ref="P756">XLOOKUP(O756,Skills[Action],Skills[Icon],"")</f>
        <v/>
      </c>
      <c r="R756" s="5" t="str">
        <f t="array" ref="R756">XLOOKUP(Q756,Skills[Action],Skills[Icon],"")</f>
        <v/>
      </c>
      <c r="T756" s="5" t="str">
        <f t="array" ref="T756">XLOOKUP(S756,Skills[Action],Skills[Icon],"")</f>
        <v/>
      </c>
      <c r="V756" s="5" t="str">
        <f t="array" ref="V756">XLOOKUP(U756,Skills[Action],Skills[Icon],"")</f>
        <v/>
      </c>
    </row>
    <row r="757">
      <c r="C757" s="7">
        <v>0.008738425925925926</v>
      </c>
      <c r="L757" s="5" t="str">
        <f t="array" ref="L757">XLOOKUP(K757,Skills[Action],Skills[Icon],"")</f>
        <v/>
      </c>
      <c r="N757" s="5" t="str">
        <f t="array" ref="N757">XLOOKUP(M757,Skills[Action],Skills[Icon],"")</f>
        <v/>
      </c>
      <c r="P757" s="5" t="str">
        <f t="array" ref="P757">XLOOKUP(O757,Skills[Action],Skills[Icon],"")</f>
        <v/>
      </c>
      <c r="R757" s="5" t="str">
        <f t="array" ref="R757">XLOOKUP(Q757,Skills[Action],Skills[Icon],"")</f>
        <v/>
      </c>
      <c r="T757" s="5" t="str">
        <f t="array" ref="T757">XLOOKUP(S757,Skills[Action],Skills[Icon],"")</f>
        <v/>
      </c>
      <c r="V757" s="5" t="str">
        <f t="array" ref="V757">XLOOKUP(U757,Skills[Action],Skills[Icon],"")</f>
        <v/>
      </c>
    </row>
    <row r="758">
      <c r="C758" s="7">
        <v>0.00875</v>
      </c>
      <c r="L758" s="5" t="str">
        <f t="array" ref="L758">XLOOKUP(K758,Skills[Action],Skills[Icon],"")</f>
        <v/>
      </c>
      <c r="N758" s="5" t="str">
        <f t="array" ref="N758">XLOOKUP(M758,Skills[Action],Skills[Icon],"")</f>
        <v/>
      </c>
      <c r="P758" s="5" t="str">
        <f t="array" ref="P758">XLOOKUP(O758,Skills[Action],Skills[Icon],"")</f>
        <v/>
      </c>
      <c r="R758" s="5" t="str">
        <f t="array" ref="R758">XLOOKUP(Q758,Skills[Action],Skills[Icon],"")</f>
        <v/>
      </c>
      <c r="T758" s="5" t="str">
        <f t="array" ref="T758">XLOOKUP(S758,Skills[Action],Skills[Icon],"")</f>
        <v/>
      </c>
      <c r="V758" s="5" t="str">
        <f t="array" ref="V758">XLOOKUP(U758,Skills[Action],Skills[Icon],"")</f>
        <v/>
      </c>
    </row>
    <row r="759">
      <c r="C759" s="7">
        <v>0.008761574074074074</v>
      </c>
      <c r="L759" s="5" t="str">
        <f t="array" ref="L759">XLOOKUP(K759,Skills[Action],Skills[Icon],"")</f>
        <v/>
      </c>
      <c r="N759" s="5" t="str">
        <f t="array" ref="N759">XLOOKUP(M759,Skills[Action],Skills[Icon],"")</f>
        <v/>
      </c>
      <c r="P759" s="5" t="str">
        <f t="array" ref="P759">XLOOKUP(O759,Skills[Action],Skills[Icon],"")</f>
        <v/>
      </c>
      <c r="R759" s="5" t="str">
        <f t="array" ref="R759">XLOOKUP(Q759,Skills[Action],Skills[Icon],"")</f>
        <v/>
      </c>
      <c r="T759" s="5" t="str">
        <f t="array" ref="T759">XLOOKUP(S759,Skills[Action],Skills[Icon],"")</f>
        <v/>
      </c>
      <c r="V759" s="5" t="str">
        <f t="array" ref="V759">XLOOKUP(U759,Skills[Action],Skills[Icon],"")</f>
        <v/>
      </c>
    </row>
    <row r="760">
      <c r="C760" s="7">
        <v>0.008773148148148148</v>
      </c>
      <c r="L760" s="5" t="str">
        <f t="array" ref="L760">XLOOKUP(K760,Skills[Action],Skills[Icon],"")</f>
        <v/>
      </c>
      <c r="N760" s="5" t="str">
        <f t="array" ref="N760">XLOOKUP(M760,Skills[Action],Skills[Icon],"")</f>
        <v/>
      </c>
      <c r="P760" s="5" t="str">
        <f t="array" ref="P760">XLOOKUP(O760,Skills[Action],Skills[Icon],"")</f>
        <v/>
      </c>
      <c r="R760" s="5" t="str">
        <f t="array" ref="R760">XLOOKUP(Q760,Skills[Action],Skills[Icon],"")</f>
        <v/>
      </c>
      <c r="T760" s="5" t="str">
        <f t="array" ref="T760">XLOOKUP(S760,Skills[Action],Skills[Icon],"")</f>
        <v/>
      </c>
      <c r="V760" s="5" t="str">
        <f t="array" ref="V760">XLOOKUP(U760,Skills[Action],Skills[Icon],"")</f>
        <v/>
      </c>
    </row>
    <row r="761">
      <c r="C761" s="7">
        <v>0.008784722222222222</v>
      </c>
      <c r="L761" s="5" t="str">
        <f t="array" ref="L761">XLOOKUP(K761,Skills[Action],Skills[Icon],"")</f>
        <v/>
      </c>
      <c r="N761" s="5" t="str">
        <f t="array" ref="N761">XLOOKUP(M761,Skills[Action],Skills[Icon],"")</f>
        <v/>
      </c>
      <c r="P761" s="5" t="str">
        <f t="array" ref="P761">XLOOKUP(O761,Skills[Action],Skills[Icon],"")</f>
        <v/>
      </c>
      <c r="R761" s="5" t="str">
        <f t="array" ref="R761">XLOOKUP(Q761,Skills[Action],Skills[Icon],"")</f>
        <v/>
      </c>
      <c r="T761" s="5" t="str">
        <f t="array" ref="T761">XLOOKUP(S761,Skills[Action],Skills[Icon],"")</f>
        <v/>
      </c>
      <c r="V761" s="5" t="str">
        <f t="array" ref="V761">XLOOKUP(U761,Skills[Action],Skills[Icon],"")</f>
        <v/>
      </c>
    </row>
    <row r="762">
      <c r="C762" s="7">
        <v>0.008796296296296297</v>
      </c>
      <c r="L762" s="5" t="str">
        <f t="array" ref="L762">XLOOKUP(K762,Skills[Action],Skills[Icon],"")</f>
        <v/>
      </c>
      <c r="N762" s="5" t="str">
        <f t="array" ref="N762">XLOOKUP(M762,Skills[Action],Skills[Icon],"")</f>
        <v/>
      </c>
      <c r="P762" s="5" t="str">
        <f t="array" ref="P762">XLOOKUP(O762,Skills[Action],Skills[Icon],"")</f>
        <v/>
      </c>
      <c r="R762" s="5" t="str">
        <f t="array" ref="R762">XLOOKUP(Q762,Skills[Action],Skills[Icon],"")</f>
        <v/>
      </c>
      <c r="T762" s="5" t="str">
        <f t="array" ref="T762">XLOOKUP(S762,Skills[Action],Skills[Icon],"")</f>
        <v/>
      </c>
      <c r="V762" s="5" t="str">
        <f t="array" ref="V762">XLOOKUP(U762,Skills[Action],Skills[Icon],"")</f>
        <v/>
      </c>
    </row>
    <row r="763">
      <c r="C763" s="7">
        <v>0.00880787037037037</v>
      </c>
      <c r="L763" s="5" t="str">
        <f t="array" ref="L763">XLOOKUP(K763,Skills[Action],Skills[Icon],"")</f>
        <v/>
      </c>
      <c r="N763" s="5" t="str">
        <f t="array" ref="N763">XLOOKUP(M763,Skills[Action],Skills[Icon],"")</f>
        <v/>
      </c>
      <c r="P763" s="5" t="str">
        <f t="array" ref="P763">XLOOKUP(O763,Skills[Action],Skills[Icon],"")</f>
        <v/>
      </c>
      <c r="R763" s="5" t="str">
        <f t="array" ref="R763">XLOOKUP(Q763,Skills[Action],Skills[Icon],"")</f>
        <v/>
      </c>
      <c r="T763" s="5" t="str">
        <f t="array" ref="T763">XLOOKUP(S763,Skills[Action],Skills[Icon],"")</f>
        <v/>
      </c>
      <c r="V763" s="5" t="str">
        <f t="array" ref="V763">XLOOKUP(U763,Skills[Action],Skills[Icon],"")</f>
        <v/>
      </c>
    </row>
    <row r="764">
      <c r="C764" s="7">
        <v>0.008819444444444444</v>
      </c>
      <c r="L764" s="5" t="str">
        <f t="array" ref="L764">XLOOKUP(K764,Skills[Action],Skills[Icon],"")</f>
        <v/>
      </c>
      <c r="N764" s="5" t="str">
        <f t="array" ref="N764">XLOOKUP(M764,Skills[Action],Skills[Icon],"")</f>
        <v/>
      </c>
      <c r="P764" s="5" t="str">
        <f t="array" ref="P764">XLOOKUP(O764,Skills[Action],Skills[Icon],"")</f>
        <v/>
      </c>
      <c r="R764" s="5" t="str">
        <f t="array" ref="R764">XLOOKUP(Q764,Skills[Action],Skills[Icon],"")</f>
        <v/>
      </c>
      <c r="T764" s="5" t="str">
        <f t="array" ref="T764">XLOOKUP(S764,Skills[Action],Skills[Icon],"")</f>
        <v/>
      </c>
      <c r="V764" s="5" t="str">
        <f t="array" ref="V764">XLOOKUP(U764,Skills[Action],Skills[Icon],"")</f>
        <v/>
      </c>
    </row>
    <row r="765">
      <c r="C765" s="7">
        <v>0.00883101851851852</v>
      </c>
      <c r="L765" s="5" t="str">
        <f t="array" ref="L765">XLOOKUP(K765,Skills[Action],Skills[Icon],"")</f>
        <v/>
      </c>
      <c r="N765" s="5" t="str">
        <f t="array" ref="N765">XLOOKUP(M765,Skills[Action],Skills[Icon],"")</f>
        <v/>
      </c>
      <c r="P765" s="5" t="str">
        <f t="array" ref="P765">XLOOKUP(O765,Skills[Action],Skills[Icon],"")</f>
        <v/>
      </c>
      <c r="R765" s="5" t="str">
        <f t="array" ref="R765">XLOOKUP(Q765,Skills[Action],Skills[Icon],"")</f>
        <v/>
      </c>
      <c r="T765" s="5" t="str">
        <f t="array" ref="T765">XLOOKUP(S765,Skills[Action],Skills[Icon],"")</f>
        <v/>
      </c>
      <c r="V765" s="5" t="str">
        <f t="array" ref="V765">XLOOKUP(U765,Skills[Action],Skills[Icon],"")</f>
        <v/>
      </c>
    </row>
    <row r="766">
      <c r="C766" s="7">
        <v>0.008842592592592593</v>
      </c>
      <c r="L766" s="5" t="str">
        <f t="array" ref="L766">XLOOKUP(K766,Skills[Action],Skills[Icon],"")</f>
        <v/>
      </c>
      <c r="N766" s="5" t="str">
        <f t="array" ref="N766">XLOOKUP(M766,Skills[Action],Skills[Icon],"")</f>
        <v/>
      </c>
      <c r="P766" s="5" t="str">
        <f t="array" ref="P766">XLOOKUP(O766,Skills[Action],Skills[Icon],"")</f>
        <v/>
      </c>
      <c r="R766" s="5" t="str">
        <f t="array" ref="R766">XLOOKUP(Q766,Skills[Action],Skills[Icon],"")</f>
        <v/>
      </c>
      <c r="T766" s="5" t="str">
        <f t="array" ref="T766">XLOOKUP(S766,Skills[Action],Skills[Icon],"")</f>
        <v/>
      </c>
      <c r="V766" s="5" t="str">
        <f t="array" ref="V766">XLOOKUP(U766,Skills[Action],Skills[Icon],"")</f>
        <v/>
      </c>
    </row>
    <row r="767">
      <c r="C767" s="7">
        <v>0.008854166666666666</v>
      </c>
      <c r="L767" s="5" t="str">
        <f t="array" ref="L767">XLOOKUP(K767,Skills[Action],Skills[Icon],"")</f>
        <v/>
      </c>
      <c r="N767" s="5" t="str">
        <f t="array" ref="N767">XLOOKUP(M767,Skills[Action],Skills[Icon],"")</f>
        <v/>
      </c>
      <c r="P767" s="5" t="str">
        <f t="array" ref="P767">XLOOKUP(O767,Skills[Action],Skills[Icon],"")</f>
        <v/>
      </c>
      <c r="R767" s="5" t="str">
        <f t="array" ref="R767">XLOOKUP(Q767,Skills[Action],Skills[Icon],"")</f>
        <v/>
      </c>
      <c r="T767" s="5" t="str">
        <f t="array" ref="T767">XLOOKUP(S767,Skills[Action],Skills[Icon],"")</f>
        <v/>
      </c>
      <c r="V767" s="5" t="str">
        <f t="array" ref="V767">XLOOKUP(U767,Skills[Action],Skills[Icon],"")</f>
        <v/>
      </c>
    </row>
    <row r="768">
      <c r="C768" s="7">
        <v>0.00886574074074074</v>
      </c>
      <c r="L768" s="5" t="str">
        <f t="array" ref="L768">XLOOKUP(K768,Skills[Action],Skills[Icon],"")</f>
        <v/>
      </c>
      <c r="N768" s="5" t="str">
        <f t="array" ref="N768">XLOOKUP(M768,Skills[Action],Skills[Icon],"")</f>
        <v/>
      </c>
      <c r="P768" s="5" t="str">
        <f t="array" ref="P768">XLOOKUP(O768,Skills[Action],Skills[Icon],"")</f>
        <v/>
      </c>
      <c r="R768" s="5" t="str">
        <f t="array" ref="R768">XLOOKUP(Q768,Skills[Action],Skills[Icon],"")</f>
        <v/>
      </c>
      <c r="T768" s="5" t="str">
        <f t="array" ref="T768">XLOOKUP(S768,Skills[Action],Skills[Icon],"")</f>
        <v/>
      </c>
      <c r="V768" s="5" t="str">
        <f t="array" ref="V768">XLOOKUP(U768,Skills[Action],Skills[Icon],"")</f>
        <v/>
      </c>
    </row>
    <row r="769">
      <c r="C769" s="7">
        <v>0.008877314814814815</v>
      </c>
      <c r="L769" s="5" t="str">
        <f t="array" ref="L769">XLOOKUP(K769,Skills[Action],Skills[Icon],"")</f>
        <v/>
      </c>
      <c r="N769" s="5" t="str">
        <f t="array" ref="N769">XLOOKUP(M769,Skills[Action],Skills[Icon],"")</f>
        <v/>
      </c>
      <c r="P769" s="5" t="str">
        <f t="array" ref="P769">XLOOKUP(O769,Skills[Action],Skills[Icon],"")</f>
        <v/>
      </c>
      <c r="R769" s="5" t="str">
        <f t="array" ref="R769">XLOOKUP(Q769,Skills[Action],Skills[Icon],"")</f>
        <v/>
      </c>
      <c r="T769" s="5" t="str">
        <f t="array" ref="T769">XLOOKUP(S769,Skills[Action],Skills[Icon],"")</f>
        <v/>
      </c>
      <c r="V769" s="5" t="str">
        <f t="array" ref="V769">XLOOKUP(U769,Skills[Action],Skills[Icon],"")</f>
        <v/>
      </c>
    </row>
    <row r="770">
      <c r="C770" s="7">
        <v>0.008888888888888889</v>
      </c>
      <c r="L770" s="5" t="str">
        <f t="array" ref="L770">XLOOKUP(K770,Skills[Action],Skills[Icon],"")</f>
        <v/>
      </c>
      <c r="N770" s="5" t="str">
        <f t="array" ref="N770">XLOOKUP(M770,Skills[Action],Skills[Icon],"")</f>
        <v/>
      </c>
      <c r="P770" s="5" t="str">
        <f t="array" ref="P770">XLOOKUP(O770,Skills[Action],Skills[Icon],"")</f>
        <v/>
      </c>
      <c r="R770" s="5" t="str">
        <f t="array" ref="R770">XLOOKUP(Q770,Skills[Action],Skills[Icon],"")</f>
        <v/>
      </c>
      <c r="T770" s="5" t="str">
        <f t="array" ref="T770">XLOOKUP(S770,Skills[Action],Skills[Icon],"")</f>
        <v/>
      </c>
      <c r="V770" s="5" t="str">
        <f t="array" ref="V770">XLOOKUP(U770,Skills[Action],Skills[Icon],"")</f>
        <v/>
      </c>
    </row>
    <row r="771">
      <c r="C771" s="7">
        <v>0.008900462962962962</v>
      </c>
      <c r="L771" s="5" t="str">
        <f t="array" ref="L771">XLOOKUP(K771,Skills[Action],Skills[Icon],"")</f>
        <v/>
      </c>
      <c r="N771" s="5" t="str">
        <f t="array" ref="N771">XLOOKUP(M771,Skills[Action],Skills[Icon],"")</f>
        <v/>
      </c>
      <c r="P771" s="5" t="str">
        <f t="array" ref="P771">XLOOKUP(O771,Skills[Action],Skills[Icon],"")</f>
        <v/>
      </c>
      <c r="R771" s="5" t="str">
        <f t="array" ref="R771">XLOOKUP(Q771,Skills[Action],Skills[Icon],"")</f>
        <v/>
      </c>
      <c r="T771" s="5" t="str">
        <f t="array" ref="T771">XLOOKUP(S771,Skills[Action],Skills[Icon],"")</f>
        <v/>
      </c>
      <c r="V771" s="5" t="str">
        <f t="array" ref="V771">XLOOKUP(U771,Skills[Action],Skills[Icon],"")</f>
        <v/>
      </c>
    </row>
    <row r="772">
      <c r="C772" s="7">
        <v>0.008912037037037038</v>
      </c>
      <c r="L772" s="5" t="str">
        <f t="array" ref="L772">XLOOKUP(K772,Skills[Action],Skills[Icon],"")</f>
        <v/>
      </c>
      <c r="N772" s="5" t="str">
        <f t="array" ref="N772">XLOOKUP(M772,Skills[Action],Skills[Icon],"")</f>
        <v/>
      </c>
      <c r="P772" s="5" t="str">
        <f t="array" ref="P772">XLOOKUP(O772,Skills[Action],Skills[Icon],"")</f>
        <v/>
      </c>
      <c r="R772" s="5" t="str">
        <f t="array" ref="R772">XLOOKUP(Q772,Skills[Action],Skills[Icon],"")</f>
        <v/>
      </c>
      <c r="T772" s="5" t="str">
        <f t="array" ref="T772">XLOOKUP(S772,Skills[Action],Skills[Icon],"")</f>
        <v/>
      </c>
      <c r="V772" s="5" t="str">
        <f t="array" ref="V772">XLOOKUP(U772,Skills[Action],Skills[Icon],"")</f>
        <v/>
      </c>
    </row>
    <row r="773">
      <c r="C773" s="7">
        <v>0.008923611111111111</v>
      </c>
      <c r="L773" s="5" t="str">
        <f t="array" ref="L773">XLOOKUP(K773,Skills[Action],Skills[Icon],"")</f>
        <v/>
      </c>
      <c r="N773" s="5" t="str">
        <f t="array" ref="N773">XLOOKUP(M773,Skills[Action],Skills[Icon],"")</f>
        <v/>
      </c>
      <c r="P773" s="5" t="str">
        <f t="array" ref="P773">XLOOKUP(O773,Skills[Action],Skills[Icon],"")</f>
        <v/>
      </c>
      <c r="R773" s="5" t="str">
        <f t="array" ref="R773">XLOOKUP(Q773,Skills[Action],Skills[Icon],"")</f>
        <v/>
      </c>
      <c r="T773" s="5" t="str">
        <f t="array" ref="T773">XLOOKUP(S773,Skills[Action],Skills[Icon],"")</f>
        <v/>
      </c>
      <c r="V773" s="5" t="str">
        <f t="array" ref="V773">XLOOKUP(U773,Skills[Action],Skills[Icon],"")</f>
        <v/>
      </c>
    </row>
    <row r="774">
      <c r="C774" s="7">
        <v>0.008935185185185185</v>
      </c>
      <c r="L774" s="5" t="str">
        <f t="array" ref="L774">XLOOKUP(K774,Skills[Action],Skills[Icon],"")</f>
        <v/>
      </c>
      <c r="N774" s="5" t="str">
        <f t="array" ref="N774">XLOOKUP(M774,Skills[Action],Skills[Icon],"")</f>
        <v/>
      </c>
      <c r="P774" s="5" t="str">
        <f t="array" ref="P774">XLOOKUP(O774,Skills[Action],Skills[Icon],"")</f>
        <v/>
      </c>
      <c r="R774" s="5" t="str">
        <f t="array" ref="R774">XLOOKUP(Q774,Skills[Action],Skills[Icon],"")</f>
        <v/>
      </c>
      <c r="T774" s="5" t="str">
        <f t="array" ref="T774">XLOOKUP(S774,Skills[Action],Skills[Icon],"")</f>
        <v/>
      </c>
      <c r="V774" s="5" t="str">
        <f t="array" ref="V774">XLOOKUP(U774,Skills[Action],Skills[Icon],"")</f>
        <v/>
      </c>
    </row>
    <row r="775">
      <c r="C775" s="7">
        <v>0.008946759259259258</v>
      </c>
      <c r="L775" s="5" t="str">
        <f t="array" ref="L775">XLOOKUP(K775,Skills[Action],Skills[Icon],"")</f>
        <v/>
      </c>
      <c r="N775" s="5" t="str">
        <f t="array" ref="N775">XLOOKUP(M775,Skills[Action],Skills[Icon],"")</f>
        <v/>
      </c>
      <c r="P775" s="5" t="str">
        <f t="array" ref="P775">XLOOKUP(O775,Skills[Action],Skills[Icon],"")</f>
        <v/>
      </c>
      <c r="R775" s="5" t="str">
        <f t="array" ref="R775">XLOOKUP(Q775,Skills[Action],Skills[Icon],"")</f>
        <v/>
      </c>
      <c r="T775" s="5" t="str">
        <f t="array" ref="T775">XLOOKUP(S775,Skills[Action],Skills[Icon],"")</f>
        <v/>
      </c>
      <c r="V775" s="5" t="str">
        <f t="array" ref="V775">XLOOKUP(U775,Skills[Action],Skills[Icon],"")</f>
        <v/>
      </c>
    </row>
    <row r="776">
      <c r="C776" s="7">
        <v>0.008958333333333334</v>
      </c>
      <c r="L776" s="5" t="str">
        <f t="array" ref="L776">XLOOKUP(K776,Skills[Action],Skills[Icon],"")</f>
        <v/>
      </c>
      <c r="N776" s="5" t="str">
        <f t="array" ref="N776">XLOOKUP(M776,Skills[Action],Skills[Icon],"")</f>
        <v/>
      </c>
      <c r="P776" s="5" t="str">
        <f t="array" ref="P776">XLOOKUP(O776,Skills[Action],Skills[Icon],"")</f>
        <v/>
      </c>
      <c r="R776" s="5" t="str">
        <f t="array" ref="R776">XLOOKUP(Q776,Skills[Action],Skills[Icon],"")</f>
        <v/>
      </c>
      <c r="T776" s="5" t="str">
        <f t="array" ref="T776">XLOOKUP(S776,Skills[Action],Skills[Icon],"")</f>
        <v/>
      </c>
      <c r="V776" s="5" t="str">
        <f t="array" ref="V776">XLOOKUP(U776,Skills[Action],Skills[Icon],"")</f>
        <v/>
      </c>
    </row>
    <row r="777">
      <c r="C777" s="7">
        <v>0.008969907407407407</v>
      </c>
      <c r="L777" s="5" t="str">
        <f t="array" ref="L777">XLOOKUP(K777,Skills[Action],Skills[Icon],"")</f>
        <v/>
      </c>
      <c r="N777" s="5" t="str">
        <f t="array" ref="N777">XLOOKUP(M777,Skills[Action],Skills[Icon],"")</f>
        <v/>
      </c>
      <c r="P777" s="5" t="str">
        <f t="array" ref="P777">XLOOKUP(O777,Skills[Action],Skills[Icon],"")</f>
        <v/>
      </c>
      <c r="R777" s="5" t="str">
        <f t="array" ref="R777">XLOOKUP(Q777,Skills[Action],Skills[Icon],"")</f>
        <v/>
      </c>
      <c r="T777" s="5" t="str">
        <f t="array" ref="T777">XLOOKUP(S777,Skills[Action],Skills[Icon],"")</f>
        <v/>
      </c>
      <c r="V777" s="5" t="str">
        <f t="array" ref="V777">XLOOKUP(U777,Skills[Action],Skills[Icon],"")</f>
        <v/>
      </c>
    </row>
    <row r="778">
      <c r="C778" s="7">
        <v>0.008981481481481481</v>
      </c>
      <c r="L778" s="5" t="str">
        <f t="array" ref="L778">XLOOKUP(K778,Skills[Action],Skills[Icon],"")</f>
        <v/>
      </c>
      <c r="N778" s="5" t="str">
        <f t="array" ref="N778">XLOOKUP(M778,Skills[Action],Skills[Icon],"")</f>
        <v/>
      </c>
      <c r="P778" s="5" t="str">
        <f t="array" ref="P778">XLOOKUP(O778,Skills[Action],Skills[Icon],"")</f>
        <v/>
      </c>
      <c r="R778" s="5" t="str">
        <f t="array" ref="R778">XLOOKUP(Q778,Skills[Action],Skills[Icon],"")</f>
        <v/>
      </c>
      <c r="T778" s="5" t="str">
        <f t="array" ref="T778">XLOOKUP(S778,Skills[Action],Skills[Icon],"")</f>
        <v/>
      </c>
      <c r="V778" s="5" t="str">
        <f t="array" ref="V778">XLOOKUP(U778,Skills[Action],Skills[Icon],"")</f>
        <v/>
      </c>
    </row>
    <row r="779">
      <c r="C779" s="7">
        <v>0.008993055555555556</v>
      </c>
      <c r="L779" s="5" t="str">
        <f t="array" ref="L779">XLOOKUP(K779,Skills[Action],Skills[Icon],"")</f>
        <v/>
      </c>
      <c r="N779" s="5" t="str">
        <f t="array" ref="N779">XLOOKUP(M779,Skills[Action],Skills[Icon],"")</f>
        <v/>
      </c>
      <c r="P779" s="5" t="str">
        <f t="array" ref="P779">XLOOKUP(O779,Skills[Action],Skills[Icon],"")</f>
        <v/>
      </c>
      <c r="R779" s="5" t="str">
        <f t="array" ref="R779">XLOOKUP(Q779,Skills[Action],Skills[Icon],"")</f>
        <v/>
      </c>
      <c r="T779" s="5" t="str">
        <f t="array" ref="T779">XLOOKUP(S779,Skills[Action],Skills[Icon],"")</f>
        <v/>
      </c>
      <c r="V779" s="5" t="str">
        <f t="array" ref="V779">XLOOKUP(U779,Skills[Action],Skills[Icon],"")</f>
        <v/>
      </c>
    </row>
    <row r="780">
      <c r="C780" s="7">
        <v>0.00900462962962963</v>
      </c>
      <c r="L780" s="5" t="str">
        <f t="array" ref="L780">XLOOKUP(K780,Skills[Action],Skills[Icon],"")</f>
        <v/>
      </c>
      <c r="N780" s="5" t="str">
        <f t="array" ref="N780">XLOOKUP(M780,Skills[Action],Skills[Icon],"")</f>
        <v/>
      </c>
      <c r="P780" s="5" t="str">
        <f t="array" ref="P780">XLOOKUP(O780,Skills[Action],Skills[Icon],"")</f>
        <v/>
      </c>
      <c r="R780" s="5" t="str">
        <f t="array" ref="R780">XLOOKUP(Q780,Skills[Action],Skills[Icon],"")</f>
        <v/>
      </c>
      <c r="T780" s="5" t="str">
        <f t="array" ref="T780">XLOOKUP(S780,Skills[Action],Skills[Icon],"")</f>
        <v/>
      </c>
      <c r="V780" s="5" t="str">
        <f t="array" ref="V780">XLOOKUP(U780,Skills[Action],Skills[Icon],"")</f>
        <v/>
      </c>
    </row>
    <row r="781">
      <c r="C781" s="7">
        <v>0.009016203703703703</v>
      </c>
      <c r="L781" s="5" t="str">
        <f t="array" ref="L781">XLOOKUP(K781,Skills[Action],Skills[Icon],"")</f>
        <v/>
      </c>
      <c r="N781" s="5" t="str">
        <f t="array" ref="N781">XLOOKUP(M781,Skills[Action],Skills[Icon],"")</f>
        <v/>
      </c>
      <c r="P781" s="5" t="str">
        <f t="array" ref="P781">XLOOKUP(O781,Skills[Action],Skills[Icon],"")</f>
        <v/>
      </c>
      <c r="R781" s="5" t="str">
        <f t="array" ref="R781">XLOOKUP(Q781,Skills[Action],Skills[Icon],"")</f>
        <v/>
      </c>
      <c r="T781" s="5" t="str">
        <f t="array" ref="T781">XLOOKUP(S781,Skills[Action],Skills[Icon],"")</f>
        <v/>
      </c>
      <c r="V781" s="5" t="str">
        <f t="array" ref="V781">XLOOKUP(U781,Skills[Action],Skills[Icon],"")</f>
        <v/>
      </c>
    </row>
    <row r="782">
      <c r="C782" s="7">
        <v>0.009027777777777777</v>
      </c>
      <c r="L782" s="5" t="str">
        <f t="array" ref="L782">XLOOKUP(K782,Skills[Action],Skills[Icon],"")</f>
        <v/>
      </c>
      <c r="N782" s="5" t="str">
        <f t="array" ref="N782">XLOOKUP(M782,Skills[Action],Skills[Icon],"")</f>
        <v/>
      </c>
      <c r="P782" s="5" t="str">
        <f t="array" ref="P782">XLOOKUP(O782,Skills[Action],Skills[Icon],"")</f>
        <v/>
      </c>
      <c r="R782" s="5" t="str">
        <f t="array" ref="R782">XLOOKUP(Q782,Skills[Action],Skills[Icon],"")</f>
        <v/>
      </c>
      <c r="T782" s="5" t="str">
        <f t="array" ref="T782">XLOOKUP(S782,Skills[Action],Skills[Icon],"")</f>
        <v/>
      </c>
      <c r="V782" s="5" t="str">
        <f t="array" ref="V782">XLOOKUP(U782,Skills[Action],Skills[Icon],"")</f>
        <v/>
      </c>
    </row>
    <row r="783">
      <c r="C783" s="7">
        <v>0.009039351851851852</v>
      </c>
      <c r="L783" s="5" t="str">
        <f t="array" ref="L783">XLOOKUP(K783,Skills[Action],Skills[Icon],"")</f>
        <v/>
      </c>
      <c r="N783" s="5" t="str">
        <f t="array" ref="N783">XLOOKUP(M783,Skills[Action],Skills[Icon],"")</f>
        <v/>
      </c>
      <c r="P783" s="5" t="str">
        <f t="array" ref="P783">XLOOKUP(O783,Skills[Action],Skills[Icon],"")</f>
        <v/>
      </c>
      <c r="R783" s="5" t="str">
        <f t="array" ref="R783">XLOOKUP(Q783,Skills[Action],Skills[Icon],"")</f>
        <v/>
      </c>
      <c r="T783" s="5" t="str">
        <f t="array" ref="T783">XLOOKUP(S783,Skills[Action],Skills[Icon],"")</f>
        <v/>
      </c>
      <c r="V783" s="5" t="str">
        <f t="array" ref="V783">XLOOKUP(U783,Skills[Action],Skills[Icon],"")</f>
        <v/>
      </c>
    </row>
    <row r="784">
      <c r="C784" s="7">
        <v>0.009050925925925926</v>
      </c>
      <c r="L784" s="5" t="str">
        <f t="array" ref="L784">XLOOKUP(K784,Skills[Action],Skills[Icon],"")</f>
        <v/>
      </c>
      <c r="N784" s="5" t="str">
        <f t="array" ref="N784">XLOOKUP(M784,Skills[Action],Skills[Icon],"")</f>
        <v/>
      </c>
      <c r="P784" s="5" t="str">
        <f t="array" ref="P784">XLOOKUP(O784,Skills[Action],Skills[Icon],"")</f>
        <v/>
      </c>
      <c r="R784" s="5" t="str">
        <f t="array" ref="R784">XLOOKUP(Q784,Skills[Action],Skills[Icon],"")</f>
        <v/>
      </c>
      <c r="T784" s="5" t="str">
        <f t="array" ref="T784">XLOOKUP(S784,Skills[Action],Skills[Icon],"")</f>
        <v/>
      </c>
      <c r="V784" s="5" t="str">
        <f t="array" ref="V784">XLOOKUP(U784,Skills[Action],Skills[Icon],"")</f>
        <v/>
      </c>
    </row>
    <row r="785">
      <c r="C785" s="7">
        <v>0.0090625</v>
      </c>
      <c r="L785" s="5" t="str">
        <f t="array" ref="L785">XLOOKUP(K785,Skills[Action],Skills[Icon],"")</f>
        <v/>
      </c>
      <c r="N785" s="5" t="str">
        <f t="array" ref="N785">XLOOKUP(M785,Skills[Action],Skills[Icon],"")</f>
        <v/>
      </c>
      <c r="P785" s="5" t="str">
        <f t="array" ref="P785">XLOOKUP(O785,Skills[Action],Skills[Icon],"")</f>
        <v/>
      </c>
      <c r="R785" s="5" t="str">
        <f t="array" ref="R785">XLOOKUP(Q785,Skills[Action],Skills[Icon],"")</f>
        <v/>
      </c>
      <c r="T785" s="5" t="str">
        <f t="array" ref="T785">XLOOKUP(S785,Skills[Action],Skills[Icon],"")</f>
        <v/>
      </c>
      <c r="V785" s="5" t="str">
        <f t="array" ref="V785">XLOOKUP(U785,Skills[Action],Skills[Icon],"")</f>
        <v/>
      </c>
    </row>
    <row r="786">
      <c r="C786" s="7">
        <v>0.009074074074074075</v>
      </c>
      <c r="L786" s="5" t="str">
        <f t="array" ref="L786">XLOOKUP(K786,Skills[Action],Skills[Icon],"")</f>
        <v/>
      </c>
      <c r="N786" s="5" t="str">
        <f t="array" ref="N786">XLOOKUP(M786,Skills[Action],Skills[Icon],"")</f>
        <v/>
      </c>
      <c r="P786" s="5" t="str">
        <f t="array" ref="P786">XLOOKUP(O786,Skills[Action],Skills[Icon],"")</f>
        <v/>
      </c>
      <c r="R786" s="5" t="str">
        <f t="array" ref="R786">XLOOKUP(Q786,Skills[Action],Skills[Icon],"")</f>
        <v/>
      </c>
      <c r="T786" s="5" t="str">
        <f t="array" ref="T786">XLOOKUP(S786,Skills[Action],Skills[Icon],"")</f>
        <v/>
      </c>
      <c r="V786" s="5" t="str">
        <f t="array" ref="V786">XLOOKUP(U786,Skills[Action],Skills[Icon],"")</f>
        <v/>
      </c>
    </row>
    <row r="787">
      <c r="C787" s="7">
        <v>0.009085648148148148</v>
      </c>
      <c r="L787" s="5" t="str">
        <f t="array" ref="L787">XLOOKUP(K787,Skills[Action],Skills[Icon],"")</f>
        <v/>
      </c>
      <c r="N787" s="5" t="str">
        <f t="array" ref="N787">XLOOKUP(M787,Skills[Action],Skills[Icon],"")</f>
        <v/>
      </c>
      <c r="P787" s="5" t="str">
        <f t="array" ref="P787">XLOOKUP(O787,Skills[Action],Skills[Icon],"")</f>
        <v/>
      </c>
      <c r="R787" s="5" t="str">
        <f t="array" ref="R787">XLOOKUP(Q787,Skills[Action],Skills[Icon],"")</f>
        <v/>
      </c>
      <c r="T787" s="5" t="str">
        <f t="array" ref="T787">XLOOKUP(S787,Skills[Action],Skills[Icon],"")</f>
        <v/>
      </c>
      <c r="V787" s="5" t="str">
        <f t="array" ref="V787">XLOOKUP(U787,Skills[Action],Skills[Icon],"")</f>
        <v/>
      </c>
    </row>
    <row r="788">
      <c r="C788" s="7">
        <v>0.009097222222222222</v>
      </c>
      <c r="L788" s="5" t="str">
        <f t="array" ref="L788">XLOOKUP(K788,Skills[Action],Skills[Icon],"")</f>
        <v/>
      </c>
      <c r="N788" s="5" t="str">
        <f t="array" ref="N788">XLOOKUP(M788,Skills[Action],Skills[Icon],"")</f>
        <v/>
      </c>
      <c r="P788" s="5" t="str">
        <f t="array" ref="P788">XLOOKUP(O788,Skills[Action],Skills[Icon],"")</f>
        <v/>
      </c>
      <c r="R788" s="5" t="str">
        <f t="array" ref="R788">XLOOKUP(Q788,Skills[Action],Skills[Icon],"")</f>
        <v/>
      </c>
      <c r="T788" s="5" t="str">
        <f t="array" ref="T788">XLOOKUP(S788,Skills[Action],Skills[Icon],"")</f>
        <v/>
      </c>
      <c r="V788" s="5" t="str">
        <f t="array" ref="V788">XLOOKUP(U788,Skills[Action],Skills[Icon],"")</f>
        <v/>
      </c>
    </row>
    <row r="789">
      <c r="C789" s="7">
        <v>0.009108796296296297</v>
      </c>
      <c r="L789" s="5" t="str">
        <f t="array" ref="L789">XLOOKUP(K789,Skills[Action],Skills[Icon],"")</f>
        <v/>
      </c>
      <c r="N789" s="5" t="str">
        <f t="array" ref="N789">XLOOKUP(M789,Skills[Action],Skills[Icon],"")</f>
        <v/>
      </c>
      <c r="P789" s="5" t="str">
        <f t="array" ref="P789">XLOOKUP(O789,Skills[Action],Skills[Icon],"")</f>
        <v/>
      </c>
      <c r="R789" s="5" t="str">
        <f t="array" ref="R789">XLOOKUP(Q789,Skills[Action],Skills[Icon],"")</f>
        <v/>
      </c>
      <c r="T789" s="5" t="str">
        <f t="array" ref="T789">XLOOKUP(S789,Skills[Action],Skills[Icon],"")</f>
        <v/>
      </c>
      <c r="V789" s="5" t="str">
        <f t="array" ref="V789">XLOOKUP(U789,Skills[Action],Skills[Icon],"")</f>
        <v/>
      </c>
    </row>
    <row r="790">
      <c r="C790" s="7">
        <v>0.00912037037037037</v>
      </c>
      <c r="L790" s="5" t="str">
        <f t="array" ref="L790">XLOOKUP(K790,Skills[Action],Skills[Icon],"")</f>
        <v/>
      </c>
      <c r="N790" s="5" t="str">
        <f t="array" ref="N790">XLOOKUP(M790,Skills[Action],Skills[Icon],"")</f>
        <v/>
      </c>
      <c r="P790" s="5" t="str">
        <f t="array" ref="P790">XLOOKUP(O790,Skills[Action],Skills[Icon],"")</f>
        <v/>
      </c>
      <c r="R790" s="5" t="str">
        <f t="array" ref="R790">XLOOKUP(Q790,Skills[Action],Skills[Icon],"")</f>
        <v/>
      </c>
      <c r="T790" s="5" t="str">
        <f t="array" ref="T790">XLOOKUP(S790,Skills[Action],Skills[Icon],"")</f>
        <v/>
      </c>
      <c r="V790" s="5" t="str">
        <f t="array" ref="V790">XLOOKUP(U790,Skills[Action],Skills[Icon],"")</f>
        <v/>
      </c>
    </row>
    <row r="791">
      <c r="C791" s="7">
        <v>0.009131944444444444</v>
      </c>
      <c r="L791" s="5" t="str">
        <f t="array" ref="L791">XLOOKUP(K791,Skills[Action],Skills[Icon],"")</f>
        <v/>
      </c>
      <c r="N791" s="5" t="str">
        <f t="array" ref="N791">XLOOKUP(M791,Skills[Action],Skills[Icon],"")</f>
        <v/>
      </c>
      <c r="P791" s="5" t="str">
        <f t="array" ref="P791">XLOOKUP(O791,Skills[Action],Skills[Icon],"")</f>
        <v/>
      </c>
      <c r="R791" s="5" t="str">
        <f t="array" ref="R791">XLOOKUP(Q791,Skills[Action],Skills[Icon],"")</f>
        <v/>
      </c>
      <c r="T791" s="5" t="str">
        <f t="array" ref="T791">XLOOKUP(S791,Skills[Action],Skills[Icon],"")</f>
        <v/>
      </c>
      <c r="V791" s="5" t="str">
        <f t="array" ref="V791">XLOOKUP(U791,Skills[Action],Skills[Icon],"")</f>
        <v/>
      </c>
    </row>
    <row r="792">
      <c r="C792" s="7">
        <v>0.009143518518518518</v>
      </c>
      <c r="L792" s="5" t="str">
        <f t="array" ref="L792">XLOOKUP(K792,Skills[Action],Skills[Icon],"")</f>
        <v/>
      </c>
      <c r="N792" s="5" t="str">
        <f t="array" ref="N792">XLOOKUP(M792,Skills[Action],Skills[Icon],"")</f>
        <v/>
      </c>
      <c r="P792" s="5" t="str">
        <f t="array" ref="P792">XLOOKUP(O792,Skills[Action],Skills[Icon],"")</f>
        <v/>
      </c>
      <c r="R792" s="5" t="str">
        <f t="array" ref="R792">XLOOKUP(Q792,Skills[Action],Skills[Icon],"")</f>
        <v/>
      </c>
      <c r="T792" s="5" t="str">
        <f t="array" ref="T792">XLOOKUP(S792,Skills[Action],Skills[Icon],"")</f>
        <v/>
      </c>
      <c r="V792" s="5" t="str">
        <f t="array" ref="V792">XLOOKUP(U792,Skills[Action],Skills[Icon],"")</f>
        <v/>
      </c>
    </row>
    <row r="793">
      <c r="C793" s="7">
        <v>0.009155092592592593</v>
      </c>
      <c r="L793" s="5" t="str">
        <f t="array" ref="L793">XLOOKUP(K793,Skills[Action],Skills[Icon],"")</f>
        <v/>
      </c>
      <c r="N793" s="5" t="str">
        <f t="array" ref="N793">XLOOKUP(M793,Skills[Action],Skills[Icon],"")</f>
        <v/>
      </c>
      <c r="P793" s="5" t="str">
        <f t="array" ref="P793">XLOOKUP(O793,Skills[Action],Skills[Icon],"")</f>
        <v/>
      </c>
      <c r="R793" s="5" t="str">
        <f t="array" ref="R793">XLOOKUP(Q793,Skills[Action],Skills[Icon],"")</f>
        <v/>
      </c>
      <c r="T793" s="5" t="str">
        <f t="array" ref="T793">XLOOKUP(S793,Skills[Action],Skills[Icon],"")</f>
        <v/>
      </c>
      <c r="V793" s="5" t="str">
        <f t="array" ref="V793">XLOOKUP(U793,Skills[Action],Skills[Icon],"")</f>
        <v/>
      </c>
    </row>
    <row r="794">
      <c r="C794" s="7">
        <v>0.009166666666666667</v>
      </c>
      <c r="L794" s="5" t="str">
        <f t="array" ref="L794">XLOOKUP(K794,Skills[Action],Skills[Icon],"")</f>
        <v/>
      </c>
      <c r="N794" s="5" t="str">
        <f t="array" ref="N794">XLOOKUP(M794,Skills[Action],Skills[Icon],"")</f>
        <v/>
      </c>
      <c r="P794" s="5" t="str">
        <f t="array" ref="P794">XLOOKUP(O794,Skills[Action],Skills[Icon],"")</f>
        <v/>
      </c>
      <c r="R794" s="5" t="str">
        <f t="array" ref="R794">XLOOKUP(Q794,Skills[Action],Skills[Icon],"")</f>
        <v/>
      </c>
      <c r="T794" s="5" t="str">
        <f t="array" ref="T794">XLOOKUP(S794,Skills[Action],Skills[Icon],"")</f>
        <v/>
      </c>
      <c r="V794" s="5" t="str">
        <f t="array" ref="V794">XLOOKUP(U794,Skills[Action],Skills[Icon],"")</f>
        <v/>
      </c>
    </row>
    <row r="795">
      <c r="C795" s="7">
        <v>0.00917824074074074</v>
      </c>
      <c r="L795" s="5" t="str">
        <f t="array" ref="L795">XLOOKUP(K795,Skills[Action],Skills[Icon],"")</f>
        <v/>
      </c>
      <c r="N795" s="5" t="str">
        <f t="array" ref="N795">XLOOKUP(M795,Skills[Action],Skills[Icon],"")</f>
        <v/>
      </c>
      <c r="P795" s="5" t="str">
        <f t="array" ref="P795">XLOOKUP(O795,Skills[Action],Skills[Icon],"")</f>
        <v/>
      </c>
      <c r="R795" s="5" t="str">
        <f t="array" ref="R795">XLOOKUP(Q795,Skills[Action],Skills[Icon],"")</f>
        <v/>
      </c>
      <c r="T795" s="5" t="str">
        <f t="array" ref="T795">XLOOKUP(S795,Skills[Action],Skills[Icon],"")</f>
        <v/>
      </c>
      <c r="V795" s="5" t="str">
        <f t="array" ref="V795">XLOOKUP(U795,Skills[Action],Skills[Icon],"")</f>
        <v/>
      </c>
    </row>
    <row r="796">
      <c r="C796" s="7">
        <v>0.009189814814814816</v>
      </c>
      <c r="L796" s="5" t="str">
        <f t="array" ref="L796">XLOOKUP(K796,Skills[Action],Skills[Icon],"")</f>
        <v/>
      </c>
      <c r="N796" s="5" t="str">
        <f t="array" ref="N796">XLOOKUP(M796,Skills[Action],Skills[Icon],"")</f>
        <v/>
      </c>
      <c r="P796" s="5" t="str">
        <f t="array" ref="P796">XLOOKUP(O796,Skills[Action],Skills[Icon],"")</f>
        <v/>
      </c>
      <c r="R796" s="5" t="str">
        <f t="array" ref="R796">XLOOKUP(Q796,Skills[Action],Skills[Icon],"")</f>
        <v/>
      </c>
      <c r="T796" s="5" t="str">
        <f t="array" ref="T796">XLOOKUP(S796,Skills[Action],Skills[Icon],"")</f>
        <v/>
      </c>
      <c r="V796" s="5" t="str">
        <f t="array" ref="V796">XLOOKUP(U796,Skills[Action],Skills[Icon],"")</f>
        <v/>
      </c>
    </row>
    <row r="797">
      <c r="C797" s="7">
        <v>0.00920138888888889</v>
      </c>
      <c r="L797" s="5" t="str">
        <f t="array" ref="L797">XLOOKUP(K797,Skills[Action],Skills[Icon],"")</f>
        <v/>
      </c>
      <c r="N797" s="5" t="str">
        <f t="array" ref="N797">XLOOKUP(M797,Skills[Action],Skills[Icon],"")</f>
        <v/>
      </c>
      <c r="P797" s="5" t="str">
        <f t="array" ref="P797">XLOOKUP(O797,Skills[Action],Skills[Icon],"")</f>
        <v/>
      </c>
      <c r="R797" s="5" t="str">
        <f t="array" ref="R797">XLOOKUP(Q797,Skills[Action],Skills[Icon],"")</f>
        <v/>
      </c>
      <c r="T797" s="5" t="str">
        <f t="array" ref="T797">XLOOKUP(S797,Skills[Action],Skills[Icon],"")</f>
        <v/>
      </c>
      <c r="V797" s="5" t="str">
        <f t="array" ref="V797">XLOOKUP(U797,Skills[Action],Skills[Icon],"")</f>
        <v/>
      </c>
    </row>
    <row r="798">
      <c r="C798" s="7">
        <v>0.009212962962962963</v>
      </c>
      <c r="L798" s="5" t="str">
        <f t="array" ref="L798">XLOOKUP(K798,Skills[Action],Skills[Icon],"")</f>
        <v/>
      </c>
      <c r="N798" s="5" t="str">
        <f t="array" ref="N798">XLOOKUP(M798,Skills[Action],Skills[Icon],"")</f>
        <v/>
      </c>
      <c r="P798" s="5" t="str">
        <f t="array" ref="P798">XLOOKUP(O798,Skills[Action],Skills[Icon],"")</f>
        <v/>
      </c>
      <c r="R798" s="5" t="str">
        <f t="array" ref="R798">XLOOKUP(Q798,Skills[Action],Skills[Icon],"")</f>
        <v/>
      </c>
      <c r="T798" s="5" t="str">
        <f t="array" ref="T798">XLOOKUP(S798,Skills[Action],Skills[Icon],"")</f>
        <v/>
      </c>
      <c r="V798" s="5" t="str">
        <f t="array" ref="V798">XLOOKUP(U798,Skills[Action],Skills[Icon],"")</f>
        <v/>
      </c>
    </row>
    <row r="799">
      <c r="C799" s="7">
        <v>0.009224537037037036</v>
      </c>
      <c r="L799" s="5" t="str">
        <f t="array" ref="L799">XLOOKUP(K799,Skills[Action],Skills[Icon],"")</f>
        <v/>
      </c>
      <c r="N799" s="5" t="str">
        <f t="array" ref="N799">XLOOKUP(M799,Skills[Action],Skills[Icon],"")</f>
        <v/>
      </c>
      <c r="P799" s="5" t="str">
        <f t="array" ref="P799">XLOOKUP(O799,Skills[Action],Skills[Icon],"")</f>
        <v/>
      </c>
      <c r="R799" s="5" t="str">
        <f t="array" ref="R799">XLOOKUP(Q799,Skills[Action],Skills[Icon],"")</f>
        <v/>
      </c>
      <c r="T799" s="5" t="str">
        <f t="array" ref="T799">XLOOKUP(S799,Skills[Action],Skills[Icon],"")</f>
        <v/>
      </c>
      <c r="V799" s="5" t="str">
        <f t="array" ref="V799">XLOOKUP(U799,Skills[Action],Skills[Icon],"")</f>
        <v/>
      </c>
    </row>
    <row r="800">
      <c r="C800" s="7">
        <v>0.009236111111111112</v>
      </c>
      <c r="L800" s="5" t="str">
        <f t="array" ref="L800">XLOOKUP(K800,Skills[Action],Skills[Icon],"")</f>
        <v/>
      </c>
      <c r="N800" s="5" t="str">
        <f t="array" ref="N800">XLOOKUP(M800,Skills[Action],Skills[Icon],"")</f>
        <v/>
      </c>
      <c r="P800" s="5" t="str">
        <f t="array" ref="P800">XLOOKUP(O800,Skills[Action],Skills[Icon],"")</f>
        <v/>
      </c>
      <c r="R800" s="5" t="str">
        <f t="array" ref="R800">XLOOKUP(Q800,Skills[Action],Skills[Icon],"")</f>
        <v/>
      </c>
      <c r="T800" s="5" t="str">
        <f t="array" ref="T800">XLOOKUP(S800,Skills[Action],Skills[Icon],"")</f>
        <v/>
      </c>
      <c r="V800" s="5" t="str">
        <f t="array" ref="V800">XLOOKUP(U800,Skills[Action],Skills[Icon],"")</f>
        <v/>
      </c>
    </row>
    <row r="801">
      <c r="C801" s="7">
        <v>0.009247685185185185</v>
      </c>
      <c r="L801" s="5" t="str">
        <f t="array" ref="L801">XLOOKUP(K801,Skills[Action],Skills[Icon],"")</f>
        <v/>
      </c>
      <c r="N801" s="5" t="str">
        <f t="array" ref="N801">XLOOKUP(M801,Skills[Action],Skills[Icon],"")</f>
        <v/>
      </c>
      <c r="P801" s="5" t="str">
        <f t="array" ref="P801">XLOOKUP(O801,Skills[Action],Skills[Icon],"")</f>
        <v/>
      </c>
      <c r="R801" s="5" t="str">
        <f t="array" ref="R801">XLOOKUP(Q801,Skills[Action],Skills[Icon],"")</f>
        <v/>
      </c>
      <c r="T801" s="5" t="str">
        <f t="array" ref="T801">XLOOKUP(S801,Skills[Action],Skills[Icon],"")</f>
        <v/>
      </c>
      <c r="V801" s="5" t="str">
        <f t="array" ref="V801">XLOOKUP(U801,Skills[Action],Skills[Icon],"")</f>
        <v/>
      </c>
    </row>
    <row r="802">
      <c r="C802" s="7">
        <v>0.009259259259259259</v>
      </c>
      <c r="L802" s="5" t="str">
        <f t="array" ref="L802">XLOOKUP(K802,Skills[Action],Skills[Icon],"")</f>
        <v/>
      </c>
      <c r="N802" s="5" t="str">
        <f t="array" ref="N802">XLOOKUP(M802,Skills[Action],Skills[Icon],"")</f>
        <v/>
      </c>
      <c r="P802" s="5" t="str">
        <f t="array" ref="P802">XLOOKUP(O802,Skills[Action],Skills[Icon],"")</f>
        <v/>
      </c>
      <c r="R802" s="5" t="str">
        <f t="array" ref="R802">XLOOKUP(Q802,Skills[Action],Skills[Icon],"")</f>
        <v/>
      </c>
      <c r="T802" s="5" t="str">
        <f t="array" ref="T802">XLOOKUP(S802,Skills[Action],Skills[Icon],"")</f>
        <v/>
      </c>
      <c r="V802" s="5" t="str">
        <f t="array" ref="V802">XLOOKUP(U802,Skills[Action],Skills[Icon],"")</f>
        <v/>
      </c>
    </row>
    <row r="803">
      <c r="C803" s="7">
        <v>0.009270833333333334</v>
      </c>
      <c r="L803" s="5" t="str">
        <f t="array" ref="L803">XLOOKUP(K803,Skills[Action],Skills[Icon],"")</f>
        <v/>
      </c>
      <c r="N803" s="5" t="str">
        <f t="array" ref="N803">XLOOKUP(M803,Skills[Action],Skills[Icon],"")</f>
        <v/>
      </c>
      <c r="P803" s="5" t="str">
        <f t="array" ref="P803">XLOOKUP(O803,Skills[Action],Skills[Icon],"")</f>
        <v/>
      </c>
      <c r="R803" s="5" t="str">
        <f t="array" ref="R803">XLOOKUP(Q803,Skills[Action],Skills[Icon],"")</f>
        <v/>
      </c>
      <c r="T803" s="5" t="str">
        <f t="array" ref="T803">XLOOKUP(S803,Skills[Action],Skills[Icon],"")</f>
        <v/>
      </c>
      <c r="V803" s="5" t="str">
        <f t="array" ref="V803">XLOOKUP(U803,Skills[Action],Skills[Icon],"")</f>
        <v/>
      </c>
    </row>
    <row r="804">
      <c r="C804" s="7">
        <v>0.009282407407407408</v>
      </c>
      <c r="L804" s="5" t="str">
        <f t="array" ref="L804">XLOOKUP(K804,Skills[Action],Skills[Icon],"")</f>
        <v/>
      </c>
      <c r="N804" s="5" t="str">
        <f t="array" ref="N804">XLOOKUP(M804,Skills[Action],Skills[Icon],"")</f>
        <v/>
      </c>
      <c r="P804" s="5" t="str">
        <f t="array" ref="P804">XLOOKUP(O804,Skills[Action],Skills[Icon],"")</f>
        <v/>
      </c>
      <c r="R804" s="5" t="str">
        <f t="array" ref="R804">XLOOKUP(Q804,Skills[Action],Skills[Icon],"")</f>
        <v/>
      </c>
      <c r="T804" s="5" t="str">
        <f t="array" ref="T804">XLOOKUP(S804,Skills[Action],Skills[Icon],"")</f>
        <v/>
      </c>
      <c r="V804" s="5" t="str">
        <f t="array" ref="V804">XLOOKUP(U804,Skills[Action],Skills[Icon],"")</f>
        <v/>
      </c>
    </row>
    <row r="805">
      <c r="C805" s="7">
        <v>0.009293981481481481</v>
      </c>
      <c r="L805" s="5" t="str">
        <f t="array" ref="L805">XLOOKUP(K805,Skills[Action],Skills[Icon],"")</f>
        <v/>
      </c>
      <c r="N805" s="5" t="str">
        <f t="array" ref="N805">XLOOKUP(M805,Skills[Action],Skills[Icon],"")</f>
        <v/>
      </c>
      <c r="P805" s="5" t="str">
        <f t="array" ref="P805">XLOOKUP(O805,Skills[Action],Skills[Icon],"")</f>
        <v/>
      </c>
      <c r="R805" s="5" t="str">
        <f t="array" ref="R805">XLOOKUP(Q805,Skills[Action],Skills[Icon],"")</f>
        <v/>
      </c>
      <c r="T805" s="5" t="str">
        <f t="array" ref="T805">XLOOKUP(S805,Skills[Action],Skills[Icon],"")</f>
        <v/>
      </c>
      <c r="V805" s="5" t="str">
        <f t="array" ref="V805">XLOOKUP(U805,Skills[Action],Skills[Icon],"")</f>
        <v/>
      </c>
    </row>
    <row r="806">
      <c r="C806" s="7">
        <v>0.009305555555555555</v>
      </c>
      <c r="L806" s="5" t="str">
        <f t="array" ref="L806">XLOOKUP(K806,Skills[Action],Skills[Icon],"")</f>
        <v/>
      </c>
      <c r="N806" s="5" t="str">
        <f t="array" ref="N806">XLOOKUP(M806,Skills[Action],Skills[Icon],"")</f>
        <v/>
      </c>
      <c r="P806" s="5" t="str">
        <f t="array" ref="P806">XLOOKUP(O806,Skills[Action],Skills[Icon],"")</f>
        <v/>
      </c>
      <c r="R806" s="5" t="str">
        <f t="array" ref="R806">XLOOKUP(Q806,Skills[Action],Skills[Icon],"")</f>
        <v/>
      </c>
      <c r="T806" s="5" t="str">
        <f t="array" ref="T806">XLOOKUP(S806,Skills[Action],Skills[Icon],"")</f>
        <v/>
      </c>
      <c r="V806" s="5" t="str">
        <f t="array" ref="V806">XLOOKUP(U806,Skills[Action],Skills[Icon],"")</f>
        <v/>
      </c>
    </row>
    <row r="807">
      <c r="C807" s="7">
        <v>0.00931712962962963</v>
      </c>
      <c r="L807" s="5" t="str">
        <f t="array" ref="L807">XLOOKUP(K807,Skills[Action],Skills[Icon],"")</f>
        <v/>
      </c>
      <c r="N807" s="5" t="str">
        <f t="array" ref="N807">XLOOKUP(M807,Skills[Action],Skills[Icon],"")</f>
        <v/>
      </c>
      <c r="P807" s="5" t="str">
        <f t="array" ref="P807">XLOOKUP(O807,Skills[Action],Skills[Icon],"")</f>
        <v/>
      </c>
      <c r="R807" s="5" t="str">
        <f t="array" ref="R807">XLOOKUP(Q807,Skills[Action],Skills[Icon],"")</f>
        <v/>
      </c>
      <c r="T807" s="5" t="str">
        <f t="array" ref="T807">XLOOKUP(S807,Skills[Action],Skills[Icon],"")</f>
        <v/>
      </c>
      <c r="V807" s="5" t="str">
        <f t="array" ref="V807">XLOOKUP(U807,Skills[Action],Skills[Icon],"")</f>
        <v/>
      </c>
    </row>
    <row r="808">
      <c r="C808" s="7">
        <v>0.009328703703703704</v>
      </c>
      <c r="L808" s="5" t="str">
        <f t="array" ref="L808">XLOOKUP(K808,Skills[Action],Skills[Icon],"")</f>
        <v/>
      </c>
      <c r="N808" s="5" t="str">
        <f t="array" ref="N808">XLOOKUP(M808,Skills[Action],Skills[Icon],"")</f>
        <v/>
      </c>
      <c r="P808" s="5" t="str">
        <f t="array" ref="P808">XLOOKUP(O808,Skills[Action],Skills[Icon],"")</f>
        <v/>
      </c>
      <c r="R808" s="5" t="str">
        <f t="array" ref="R808">XLOOKUP(Q808,Skills[Action],Skills[Icon],"")</f>
        <v/>
      </c>
      <c r="T808" s="5" t="str">
        <f t="array" ref="T808">XLOOKUP(S808,Skills[Action],Skills[Icon],"")</f>
        <v/>
      </c>
      <c r="V808" s="5" t="str">
        <f t="array" ref="V808">XLOOKUP(U808,Skills[Action],Skills[Icon],"")</f>
        <v/>
      </c>
    </row>
    <row r="809">
      <c r="C809" s="7">
        <v>0.009340277777777777</v>
      </c>
      <c r="L809" s="5" t="str">
        <f t="array" ref="L809">XLOOKUP(K809,Skills[Action],Skills[Icon],"")</f>
        <v/>
      </c>
      <c r="N809" s="5" t="str">
        <f t="array" ref="N809">XLOOKUP(M809,Skills[Action],Skills[Icon],"")</f>
        <v/>
      </c>
      <c r="P809" s="5" t="str">
        <f t="array" ref="P809">XLOOKUP(O809,Skills[Action],Skills[Icon],"")</f>
        <v/>
      </c>
      <c r="R809" s="5" t="str">
        <f t="array" ref="R809">XLOOKUP(Q809,Skills[Action],Skills[Icon],"")</f>
        <v/>
      </c>
      <c r="T809" s="5" t="str">
        <f t="array" ref="T809">XLOOKUP(S809,Skills[Action],Skills[Icon],"")</f>
        <v/>
      </c>
      <c r="V809" s="5" t="str">
        <f t="array" ref="V809">XLOOKUP(U809,Skills[Action],Skills[Icon],"")</f>
        <v/>
      </c>
    </row>
    <row r="810">
      <c r="C810" s="7">
        <v>0.009351851851851853</v>
      </c>
      <c r="L810" s="5" t="str">
        <f t="array" ref="L810">XLOOKUP(K810,Skills[Action],Skills[Icon],"")</f>
        <v/>
      </c>
      <c r="N810" s="5" t="str">
        <f t="array" ref="N810">XLOOKUP(M810,Skills[Action],Skills[Icon],"")</f>
        <v/>
      </c>
      <c r="P810" s="5" t="str">
        <f t="array" ref="P810">XLOOKUP(O810,Skills[Action],Skills[Icon],"")</f>
        <v/>
      </c>
      <c r="R810" s="5" t="str">
        <f t="array" ref="R810">XLOOKUP(Q810,Skills[Action],Skills[Icon],"")</f>
        <v/>
      </c>
      <c r="T810" s="5" t="str">
        <f t="array" ref="T810">XLOOKUP(S810,Skills[Action],Skills[Icon],"")</f>
        <v/>
      </c>
      <c r="V810" s="5" t="str">
        <f t="array" ref="V810">XLOOKUP(U810,Skills[Action],Skills[Icon],"")</f>
        <v/>
      </c>
    </row>
    <row r="811">
      <c r="C811" s="7">
        <v>0.009363425925925926</v>
      </c>
      <c r="L811" s="5" t="str">
        <f t="array" ref="L811">XLOOKUP(K811,Skills[Action],Skills[Icon],"")</f>
        <v/>
      </c>
      <c r="N811" s="5" t="str">
        <f t="array" ref="N811">XLOOKUP(M811,Skills[Action],Skills[Icon],"")</f>
        <v/>
      </c>
      <c r="P811" s="5" t="str">
        <f t="array" ref="P811">XLOOKUP(O811,Skills[Action],Skills[Icon],"")</f>
        <v/>
      </c>
      <c r="R811" s="5" t="str">
        <f t="array" ref="R811">XLOOKUP(Q811,Skills[Action],Skills[Icon],"")</f>
        <v/>
      </c>
      <c r="T811" s="5" t="str">
        <f t="array" ref="T811">XLOOKUP(S811,Skills[Action],Skills[Icon],"")</f>
        <v/>
      </c>
      <c r="V811" s="5" t="str">
        <f t="array" ref="V811">XLOOKUP(U811,Skills[Action],Skills[Icon],"")</f>
        <v/>
      </c>
    </row>
    <row r="812">
      <c r="C812" s="7">
        <v>0.009375</v>
      </c>
      <c r="L812" s="5" t="str">
        <f t="array" ref="L812">XLOOKUP(K812,Skills[Action],Skills[Icon],"")</f>
        <v/>
      </c>
      <c r="N812" s="5" t="str">
        <f t="array" ref="N812">XLOOKUP(M812,Skills[Action],Skills[Icon],"")</f>
        <v/>
      </c>
      <c r="P812" s="5" t="str">
        <f t="array" ref="P812">XLOOKUP(O812,Skills[Action],Skills[Icon],"")</f>
        <v/>
      </c>
      <c r="R812" s="5" t="str">
        <f t="array" ref="R812">XLOOKUP(Q812,Skills[Action],Skills[Icon],"")</f>
        <v/>
      </c>
      <c r="T812" s="5" t="str">
        <f t="array" ref="T812">XLOOKUP(S812,Skills[Action],Skills[Icon],"")</f>
        <v/>
      </c>
      <c r="V812" s="5" t="str">
        <f t="array" ref="V812">XLOOKUP(U812,Skills[Action],Skills[Icon],"")</f>
        <v/>
      </c>
    </row>
    <row r="813">
      <c r="C813" s="7">
        <v>0.009386574074074073</v>
      </c>
      <c r="L813" s="5" t="str">
        <f t="array" ref="L813">XLOOKUP(K813,Skills[Action],Skills[Icon],"")</f>
        <v/>
      </c>
      <c r="N813" s="5" t="str">
        <f t="array" ref="N813">XLOOKUP(M813,Skills[Action],Skills[Icon],"")</f>
        <v/>
      </c>
      <c r="P813" s="5" t="str">
        <f t="array" ref="P813">XLOOKUP(O813,Skills[Action],Skills[Icon],"")</f>
        <v/>
      </c>
      <c r="R813" s="5" t="str">
        <f t="array" ref="R813">XLOOKUP(Q813,Skills[Action],Skills[Icon],"")</f>
        <v/>
      </c>
      <c r="T813" s="5" t="str">
        <f t="array" ref="T813">XLOOKUP(S813,Skills[Action],Skills[Icon],"")</f>
        <v/>
      </c>
      <c r="V813" s="5" t="str">
        <f t="array" ref="V813">XLOOKUP(U813,Skills[Action],Skills[Icon],"")</f>
        <v/>
      </c>
    </row>
    <row r="814">
      <c r="C814" s="7">
        <v>0.009398148148148149</v>
      </c>
      <c r="L814" s="5" t="str">
        <f t="array" ref="L814">XLOOKUP(K814,Skills[Action],Skills[Icon],"")</f>
        <v/>
      </c>
      <c r="N814" s="5" t="str">
        <f t="array" ref="N814">XLOOKUP(M814,Skills[Action],Skills[Icon],"")</f>
        <v/>
      </c>
      <c r="P814" s="5" t="str">
        <f t="array" ref="P814">XLOOKUP(O814,Skills[Action],Skills[Icon],"")</f>
        <v/>
      </c>
      <c r="R814" s="5" t="str">
        <f t="array" ref="R814">XLOOKUP(Q814,Skills[Action],Skills[Icon],"")</f>
        <v/>
      </c>
      <c r="T814" s="5" t="str">
        <f t="array" ref="T814">XLOOKUP(S814,Skills[Action],Skills[Icon],"")</f>
        <v/>
      </c>
      <c r="V814" s="5" t="str">
        <f t="array" ref="V814">XLOOKUP(U814,Skills[Action],Skills[Icon],"")</f>
        <v/>
      </c>
    </row>
    <row r="815">
      <c r="C815" s="7">
        <v>0.009409722222222222</v>
      </c>
      <c r="L815" s="5" t="str">
        <f t="array" ref="L815">XLOOKUP(K815,Skills[Action],Skills[Icon],"")</f>
        <v/>
      </c>
      <c r="N815" s="5" t="str">
        <f t="array" ref="N815">XLOOKUP(M815,Skills[Action],Skills[Icon],"")</f>
        <v/>
      </c>
      <c r="P815" s="5" t="str">
        <f t="array" ref="P815">XLOOKUP(O815,Skills[Action],Skills[Icon],"")</f>
        <v/>
      </c>
      <c r="R815" s="5" t="str">
        <f t="array" ref="R815">XLOOKUP(Q815,Skills[Action],Skills[Icon],"")</f>
        <v/>
      </c>
      <c r="T815" s="5" t="str">
        <f t="array" ref="T815">XLOOKUP(S815,Skills[Action],Skills[Icon],"")</f>
        <v/>
      </c>
      <c r="V815" s="5" t="str">
        <f t="array" ref="V815">XLOOKUP(U815,Skills[Action],Skills[Icon],"")</f>
        <v/>
      </c>
    </row>
    <row r="816">
      <c r="C816" s="7">
        <v>0.009421296296296296</v>
      </c>
      <c r="L816" s="5" t="str">
        <f t="array" ref="L816">XLOOKUP(K816,Skills[Action],Skills[Icon],"")</f>
        <v/>
      </c>
      <c r="N816" s="5" t="str">
        <f t="array" ref="N816">XLOOKUP(M816,Skills[Action],Skills[Icon],"")</f>
        <v/>
      </c>
      <c r="P816" s="5" t="str">
        <f t="array" ref="P816">XLOOKUP(O816,Skills[Action],Skills[Icon],"")</f>
        <v/>
      </c>
      <c r="R816" s="5" t="str">
        <f t="array" ref="R816">XLOOKUP(Q816,Skills[Action],Skills[Icon],"")</f>
        <v/>
      </c>
      <c r="T816" s="5" t="str">
        <f t="array" ref="T816">XLOOKUP(S816,Skills[Action],Skills[Icon],"")</f>
        <v/>
      </c>
      <c r="V816" s="5" t="str">
        <f t="array" ref="V816">XLOOKUP(U816,Skills[Action],Skills[Icon],"")</f>
        <v/>
      </c>
    </row>
    <row r="817">
      <c r="C817" s="7">
        <v>0.009432870370370371</v>
      </c>
      <c r="L817" s="5" t="str">
        <f t="array" ref="L817">XLOOKUP(K817,Skills[Action],Skills[Icon],"")</f>
        <v/>
      </c>
      <c r="N817" s="5" t="str">
        <f t="array" ref="N817">XLOOKUP(M817,Skills[Action],Skills[Icon],"")</f>
        <v/>
      </c>
      <c r="P817" s="5" t="str">
        <f t="array" ref="P817">XLOOKUP(O817,Skills[Action],Skills[Icon],"")</f>
        <v/>
      </c>
      <c r="R817" s="5" t="str">
        <f t="array" ref="R817">XLOOKUP(Q817,Skills[Action],Skills[Icon],"")</f>
        <v/>
      </c>
      <c r="T817" s="5" t="str">
        <f t="array" ref="T817">XLOOKUP(S817,Skills[Action],Skills[Icon],"")</f>
        <v/>
      </c>
      <c r="V817" s="5" t="str">
        <f t="array" ref="V817">XLOOKUP(U817,Skills[Action],Skills[Icon],"")</f>
        <v/>
      </c>
    </row>
    <row r="818">
      <c r="C818" s="7">
        <v>0.009444444444444445</v>
      </c>
      <c r="L818" s="5" t="str">
        <f t="array" ref="L818">XLOOKUP(K818,Skills[Action],Skills[Icon],"")</f>
        <v/>
      </c>
      <c r="N818" s="5" t="str">
        <f t="array" ref="N818">XLOOKUP(M818,Skills[Action],Skills[Icon],"")</f>
        <v/>
      </c>
      <c r="P818" s="5" t="str">
        <f t="array" ref="P818">XLOOKUP(O818,Skills[Action],Skills[Icon],"")</f>
        <v/>
      </c>
      <c r="R818" s="5" t="str">
        <f t="array" ref="R818">XLOOKUP(Q818,Skills[Action],Skills[Icon],"")</f>
        <v/>
      </c>
      <c r="T818" s="5" t="str">
        <f t="array" ref="T818">XLOOKUP(S818,Skills[Action],Skills[Icon],"")</f>
        <v/>
      </c>
      <c r="V818" s="5" t="str">
        <f t="array" ref="V818">XLOOKUP(U818,Skills[Action],Skills[Icon],"")</f>
        <v/>
      </c>
    </row>
    <row r="819">
      <c r="C819" s="7">
        <v>0.009456018518518518</v>
      </c>
      <c r="L819" s="5" t="str">
        <f t="array" ref="L819">XLOOKUP(K819,Skills[Action],Skills[Icon],"")</f>
        <v/>
      </c>
      <c r="N819" s="5" t="str">
        <f t="array" ref="N819">XLOOKUP(M819,Skills[Action],Skills[Icon],"")</f>
        <v/>
      </c>
      <c r="P819" s="5" t="str">
        <f t="array" ref="P819">XLOOKUP(O819,Skills[Action],Skills[Icon],"")</f>
        <v/>
      </c>
      <c r="R819" s="5" t="str">
        <f t="array" ref="R819">XLOOKUP(Q819,Skills[Action],Skills[Icon],"")</f>
        <v/>
      </c>
      <c r="T819" s="5" t="str">
        <f t="array" ref="T819">XLOOKUP(S819,Skills[Action],Skills[Icon],"")</f>
        <v/>
      </c>
      <c r="V819" s="5" t="str">
        <f t="array" ref="V819">XLOOKUP(U819,Skills[Action],Skills[Icon],"")</f>
        <v/>
      </c>
    </row>
    <row r="820">
      <c r="C820" s="7">
        <v>0.009467592592592593</v>
      </c>
      <c r="L820" s="5" t="str">
        <f t="array" ref="L820">XLOOKUP(K820,Skills[Action],Skills[Icon],"")</f>
        <v/>
      </c>
      <c r="N820" s="5" t="str">
        <f t="array" ref="N820">XLOOKUP(M820,Skills[Action],Skills[Icon],"")</f>
        <v/>
      </c>
      <c r="P820" s="5" t="str">
        <f t="array" ref="P820">XLOOKUP(O820,Skills[Action],Skills[Icon],"")</f>
        <v/>
      </c>
      <c r="R820" s="5" t="str">
        <f t="array" ref="R820">XLOOKUP(Q820,Skills[Action],Skills[Icon],"")</f>
        <v/>
      </c>
      <c r="T820" s="5" t="str">
        <f t="array" ref="T820">XLOOKUP(S820,Skills[Action],Skills[Icon],"")</f>
        <v/>
      </c>
      <c r="V820" s="5" t="str">
        <f t="array" ref="V820">XLOOKUP(U820,Skills[Action],Skills[Icon],"")</f>
        <v/>
      </c>
    </row>
    <row r="821">
      <c r="C821" s="7">
        <v>0.009479166666666667</v>
      </c>
      <c r="L821" s="5" t="str">
        <f t="array" ref="L821">XLOOKUP(K821,Skills[Action],Skills[Icon],"")</f>
        <v/>
      </c>
      <c r="N821" s="5" t="str">
        <f t="array" ref="N821">XLOOKUP(M821,Skills[Action],Skills[Icon],"")</f>
        <v/>
      </c>
      <c r="P821" s="5" t="str">
        <f t="array" ref="P821">XLOOKUP(O821,Skills[Action],Skills[Icon],"")</f>
        <v/>
      </c>
      <c r="R821" s="5" t="str">
        <f t="array" ref="R821">XLOOKUP(Q821,Skills[Action],Skills[Icon],"")</f>
        <v/>
      </c>
      <c r="T821" s="5" t="str">
        <f t="array" ref="T821">XLOOKUP(S821,Skills[Action],Skills[Icon],"")</f>
        <v/>
      </c>
      <c r="V821" s="5" t="str">
        <f t="array" ref="V821">XLOOKUP(U821,Skills[Action],Skills[Icon],"")</f>
        <v/>
      </c>
    </row>
    <row r="822">
      <c r="C822" s="7">
        <v>0.00949074074074074</v>
      </c>
      <c r="L822" s="5" t="str">
        <f t="array" ref="L822">XLOOKUP(K822,Skills[Action],Skills[Icon],"")</f>
        <v/>
      </c>
      <c r="N822" s="5" t="str">
        <f t="array" ref="N822">XLOOKUP(M822,Skills[Action],Skills[Icon],"")</f>
        <v/>
      </c>
      <c r="P822" s="5" t="str">
        <f t="array" ref="P822">XLOOKUP(O822,Skills[Action],Skills[Icon],"")</f>
        <v/>
      </c>
      <c r="R822" s="5" t="str">
        <f t="array" ref="R822">XLOOKUP(Q822,Skills[Action],Skills[Icon],"")</f>
        <v/>
      </c>
      <c r="T822" s="5" t="str">
        <f t="array" ref="T822">XLOOKUP(S822,Skills[Action],Skills[Icon],"")</f>
        <v/>
      </c>
      <c r="V822" s="5" t="str">
        <f t="array" ref="V822">XLOOKUP(U822,Skills[Action],Skills[Icon],"")</f>
        <v/>
      </c>
    </row>
    <row r="823">
      <c r="C823" s="7">
        <v>0.009502314814814814</v>
      </c>
      <c r="L823" s="5" t="str">
        <f t="array" ref="L823">XLOOKUP(K823,Skills[Action],Skills[Icon],"")</f>
        <v/>
      </c>
      <c r="N823" s="5" t="str">
        <f t="array" ref="N823">XLOOKUP(M823,Skills[Action],Skills[Icon],"")</f>
        <v/>
      </c>
      <c r="P823" s="5" t="str">
        <f t="array" ref="P823">XLOOKUP(O823,Skills[Action],Skills[Icon],"")</f>
        <v/>
      </c>
      <c r="R823" s="5" t="str">
        <f t="array" ref="R823">XLOOKUP(Q823,Skills[Action],Skills[Icon],"")</f>
        <v/>
      </c>
      <c r="T823" s="5" t="str">
        <f t="array" ref="T823">XLOOKUP(S823,Skills[Action],Skills[Icon],"")</f>
        <v/>
      </c>
      <c r="V823" s="5" t="str">
        <f t="array" ref="V823">XLOOKUP(U823,Skills[Action],Skills[Icon],"")</f>
        <v/>
      </c>
    </row>
    <row r="824">
      <c r="C824" s="7">
        <v>0.00951388888888889</v>
      </c>
      <c r="L824" s="5" t="str">
        <f t="array" ref="L824">XLOOKUP(K824,Skills[Action],Skills[Icon],"")</f>
        <v/>
      </c>
      <c r="N824" s="5" t="str">
        <f t="array" ref="N824">XLOOKUP(M824,Skills[Action],Skills[Icon],"")</f>
        <v/>
      </c>
      <c r="P824" s="5" t="str">
        <f t="array" ref="P824">XLOOKUP(O824,Skills[Action],Skills[Icon],"")</f>
        <v/>
      </c>
      <c r="R824" s="5" t="str">
        <f t="array" ref="R824">XLOOKUP(Q824,Skills[Action],Skills[Icon],"")</f>
        <v/>
      </c>
      <c r="T824" s="5" t="str">
        <f t="array" ref="T824">XLOOKUP(S824,Skills[Action],Skills[Icon],"")</f>
        <v/>
      </c>
      <c r="V824" s="5" t="str">
        <f t="array" ref="V824">XLOOKUP(U824,Skills[Action],Skills[Icon],"")</f>
        <v/>
      </c>
    </row>
    <row r="825">
      <c r="C825" s="7">
        <v>0.009525462962962963</v>
      </c>
      <c r="L825" s="5" t="str">
        <f t="array" ref="L825">XLOOKUP(K825,Skills[Action],Skills[Icon],"")</f>
        <v/>
      </c>
      <c r="N825" s="5" t="str">
        <f t="array" ref="N825">XLOOKUP(M825,Skills[Action],Skills[Icon],"")</f>
        <v/>
      </c>
      <c r="P825" s="5" t="str">
        <f t="array" ref="P825">XLOOKUP(O825,Skills[Action],Skills[Icon],"")</f>
        <v/>
      </c>
      <c r="R825" s="5" t="str">
        <f t="array" ref="R825">XLOOKUP(Q825,Skills[Action],Skills[Icon],"")</f>
        <v/>
      </c>
      <c r="T825" s="5" t="str">
        <f t="array" ref="T825">XLOOKUP(S825,Skills[Action],Skills[Icon],"")</f>
        <v/>
      </c>
      <c r="V825" s="5" t="str">
        <f t="array" ref="V825">XLOOKUP(U825,Skills[Action],Skills[Icon],"")</f>
        <v/>
      </c>
    </row>
    <row r="826">
      <c r="C826" s="7">
        <v>0.009537037037037037</v>
      </c>
      <c r="L826" s="5" t="str">
        <f t="array" ref="L826">XLOOKUP(K826,Skills[Action],Skills[Icon],"")</f>
        <v/>
      </c>
      <c r="N826" s="5" t="str">
        <f t="array" ref="N826">XLOOKUP(M826,Skills[Action],Skills[Icon],"")</f>
        <v/>
      </c>
      <c r="P826" s="5" t="str">
        <f t="array" ref="P826">XLOOKUP(O826,Skills[Action],Skills[Icon],"")</f>
        <v/>
      </c>
      <c r="R826" s="5" t="str">
        <f t="array" ref="R826">XLOOKUP(Q826,Skills[Action],Skills[Icon],"")</f>
        <v/>
      </c>
      <c r="T826" s="5" t="str">
        <f t="array" ref="T826">XLOOKUP(S826,Skills[Action],Skills[Icon],"")</f>
        <v/>
      </c>
      <c r="V826" s="5" t="str">
        <f t="array" ref="V826">XLOOKUP(U826,Skills[Action],Skills[Icon],"")</f>
        <v/>
      </c>
    </row>
    <row r="827">
      <c r="C827" s="7">
        <v>0.009548611111111112</v>
      </c>
      <c r="L827" s="5" t="str">
        <f t="array" ref="L827">XLOOKUP(K827,Skills[Action],Skills[Icon],"")</f>
        <v/>
      </c>
      <c r="N827" s="5" t="str">
        <f t="array" ref="N827">XLOOKUP(M827,Skills[Action],Skills[Icon],"")</f>
        <v/>
      </c>
      <c r="P827" s="5" t="str">
        <f t="array" ref="P827">XLOOKUP(O827,Skills[Action],Skills[Icon],"")</f>
        <v/>
      </c>
      <c r="R827" s="5" t="str">
        <f t="array" ref="R827">XLOOKUP(Q827,Skills[Action],Skills[Icon],"")</f>
        <v/>
      </c>
      <c r="T827" s="5" t="str">
        <f t="array" ref="T827">XLOOKUP(S827,Skills[Action],Skills[Icon],"")</f>
        <v/>
      </c>
      <c r="V827" s="5" t="str">
        <f t="array" ref="V827">XLOOKUP(U827,Skills[Action],Skills[Icon],"")</f>
        <v/>
      </c>
    </row>
    <row r="828">
      <c r="C828" s="7">
        <v>0.009560185185185185</v>
      </c>
      <c r="L828" s="5" t="str">
        <f t="array" ref="L828">XLOOKUP(K828,Skills[Action],Skills[Icon],"")</f>
        <v/>
      </c>
      <c r="N828" s="5" t="str">
        <f t="array" ref="N828">XLOOKUP(M828,Skills[Action],Skills[Icon],"")</f>
        <v/>
      </c>
      <c r="P828" s="5" t="str">
        <f t="array" ref="P828">XLOOKUP(O828,Skills[Action],Skills[Icon],"")</f>
        <v/>
      </c>
      <c r="R828" s="5" t="str">
        <f t="array" ref="R828">XLOOKUP(Q828,Skills[Action],Skills[Icon],"")</f>
        <v/>
      </c>
      <c r="T828" s="5" t="str">
        <f t="array" ref="T828">XLOOKUP(S828,Skills[Action],Skills[Icon],"")</f>
        <v/>
      </c>
      <c r="V828" s="5" t="str">
        <f t="array" ref="V828">XLOOKUP(U828,Skills[Action],Skills[Icon],"")</f>
        <v/>
      </c>
    </row>
    <row r="829">
      <c r="C829" s="7">
        <v>0.009571759259259259</v>
      </c>
      <c r="L829" s="5" t="str">
        <f t="array" ref="L829">XLOOKUP(K829,Skills[Action],Skills[Icon],"")</f>
        <v/>
      </c>
      <c r="N829" s="5" t="str">
        <f t="array" ref="N829">XLOOKUP(M829,Skills[Action],Skills[Icon],"")</f>
        <v/>
      </c>
      <c r="P829" s="5" t="str">
        <f t="array" ref="P829">XLOOKUP(O829,Skills[Action],Skills[Icon],"")</f>
        <v/>
      </c>
      <c r="R829" s="5" t="str">
        <f t="array" ref="R829">XLOOKUP(Q829,Skills[Action],Skills[Icon],"")</f>
        <v/>
      </c>
      <c r="T829" s="5" t="str">
        <f t="array" ref="T829">XLOOKUP(S829,Skills[Action],Skills[Icon],"")</f>
        <v/>
      </c>
      <c r="V829" s="5" t="str">
        <f t="array" ref="V829">XLOOKUP(U829,Skills[Action],Skills[Icon],"")</f>
        <v/>
      </c>
    </row>
    <row r="830">
      <c r="C830" s="7">
        <v>0.009583333333333333</v>
      </c>
      <c r="L830" s="5" t="str">
        <f t="array" ref="L830">XLOOKUP(K830,Skills[Action],Skills[Icon],"")</f>
        <v/>
      </c>
      <c r="N830" s="5" t="str">
        <f t="array" ref="N830">XLOOKUP(M830,Skills[Action],Skills[Icon],"")</f>
        <v/>
      </c>
      <c r="P830" s="5" t="str">
        <f t="array" ref="P830">XLOOKUP(O830,Skills[Action],Skills[Icon],"")</f>
        <v/>
      </c>
      <c r="R830" s="5" t="str">
        <f t="array" ref="R830">XLOOKUP(Q830,Skills[Action],Skills[Icon],"")</f>
        <v/>
      </c>
      <c r="T830" s="5" t="str">
        <f t="array" ref="T830">XLOOKUP(S830,Skills[Action],Skills[Icon],"")</f>
        <v/>
      </c>
      <c r="V830" s="5" t="str">
        <f t="array" ref="V830">XLOOKUP(U830,Skills[Action],Skills[Icon],"")</f>
        <v/>
      </c>
    </row>
    <row r="831">
      <c r="C831" s="7">
        <v>0.009594907407407408</v>
      </c>
      <c r="L831" s="5" t="str">
        <f t="array" ref="L831">XLOOKUP(K831,Skills[Action],Skills[Icon],"")</f>
        <v/>
      </c>
      <c r="N831" s="5" t="str">
        <f t="array" ref="N831">XLOOKUP(M831,Skills[Action],Skills[Icon],"")</f>
        <v/>
      </c>
      <c r="P831" s="5" t="str">
        <f t="array" ref="P831">XLOOKUP(O831,Skills[Action],Skills[Icon],"")</f>
        <v/>
      </c>
      <c r="R831" s="5" t="str">
        <f t="array" ref="R831">XLOOKUP(Q831,Skills[Action],Skills[Icon],"")</f>
        <v/>
      </c>
      <c r="T831" s="5" t="str">
        <f t="array" ref="T831">XLOOKUP(S831,Skills[Action],Skills[Icon],"")</f>
        <v/>
      </c>
      <c r="V831" s="5" t="str">
        <f t="array" ref="V831">XLOOKUP(U831,Skills[Action],Skills[Icon],"")</f>
        <v/>
      </c>
    </row>
    <row r="832">
      <c r="C832" s="7">
        <v>0.009606481481481481</v>
      </c>
      <c r="L832" s="5" t="str">
        <f t="array" ref="L832">XLOOKUP(K832,Skills[Action],Skills[Icon],"")</f>
        <v/>
      </c>
      <c r="N832" s="5" t="str">
        <f t="array" ref="N832">XLOOKUP(M832,Skills[Action],Skills[Icon],"")</f>
        <v/>
      </c>
      <c r="P832" s="5" t="str">
        <f t="array" ref="P832">XLOOKUP(O832,Skills[Action],Skills[Icon],"")</f>
        <v/>
      </c>
      <c r="R832" s="5" t="str">
        <f t="array" ref="R832">XLOOKUP(Q832,Skills[Action],Skills[Icon],"")</f>
        <v/>
      </c>
      <c r="T832" s="5" t="str">
        <f t="array" ref="T832">XLOOKUP(S832,Skills[Action],Skills[Icon],"")</f>
        <v/>
      </c>
      <c r="V832" s="5" t="str">
        <f t="array" ref="V832">XLOOKUP(U832,Skills[Action],Skills[Icon],"")</f>
        <v/>
      </c>
    </row>
    <row r="833">
      <c r="C833" s="7">
        <v>0.009618055555555555</v>
      </c>
      <c r="L833" s="5" t="str">
        <f t="array" ref="L833">XLOOKUP(K833,Skills[Action],Skills[Icon],"")</f>
        <v/>
      </c>
      <c r="N833" s="5" t="str">
        <f t="array" ref="N833">XLOOKUP(M833,Skills[Action],Skills[Icon],"")</f>
        <v/>
      </c>
      <c r="P833" s="5" t="str">
        <f t="array" ref="P833">XLOOKUP(O833,Skills[Action],Skills[Icon],"")</f>
        <v/>
      </c>
      <c r="R833" s="5" t="str">
        <f t="array" ref="R833">XLOOKUP(Q833,Skills[Action],Skills[Icon],"")</f>
        <v/>
      </c>
      <c r="T833" s="5" t="str">
        <f t="array" ref="T833">XLOOKUP(S833,Skills[Action],Skills[Icon],"")</f>
        <v/>
      </c>
      <c r="V833" s="5" t="str">
        <f t="array" ref="V833">XLOOKUP(U833,Skills[Action],Skills[Icon],"")</f>
        <v/>
      </c>
    </row>
    <row r="834">
      <c r="C834" s="7">
        <v>0.00962962962962963</v>
      </c>
      <c r="L834" s="5" t="str">
        <f t="array" ref="L834">XLOOKUP(K834,Skills[Action],Skills[Icon],"")</f>
        <v/>
      </c>
      <c r="N834" s="5" t="str">
        <f t="array" ref="N834">XLOOKUP(M834,Skills[Action],Skills[Icon],"")</f>
        <v/>
      </c>
      <c r="P834" s="5" t="str">
        <f t="array" ref="P834">XLOOKUP(O834,Skills[Action],Skills[Icon],"")</f>
        <v/>
      </c>
      <c r="R834" s="5" t="str">
        <f t="array" ref="R834">XLOOKUP(Q834,Skills[Action],Skills[Icon],"")</f>
        <v/>
      </c>
      <c r="T834" s="5" t="str">
        <f t="array" ref="T834">XLOOKUP(S834,Skills[Action],Skills[Icon],"")</f>
        <v/>
      </c>
      <c r="V834" s="5" t="str">
        <f t="array" ref="V834">XLOOKUP(U834,Skills[Action],Skills[Icon],"")</f>
        <v/>
      </c>
    </row>
    <row r="835">
      <c r="C835" s="7">
        <v>0.009641203703703704</v>
      </c>
      <c r="L835" s="5" t="str">
        <f t="array" ref="L835">XLOOKUP(K835,Skills[Action],Skills[Icon],"")</f>
        <v/>
      </c>
      <c r="N835" s="5" t="str">
        <f t="array" ref="N835">XLOOKUP(M835,Skills[Action],Skills[Icon],"")</f>
        <v/>
      </c>
      <c r="P835" s="5" t="str">
        <f t="array" ref="P835">XLOOKUP(O835,Skills[Action],Skills[Icon],"")</f>
        <v/>
      </c>
      <c r="R835" s="5" t="str">
        <f t="array" ref="R835">XLOOKUP(Q835,Skills[Action],Skills[Icon],"")</f>
        <v/>
      </c>
      <c r="T835" s="5" t="str">
        <f t="array" ref="T835">XLOOKUP(S835,Skills[Action],Skills[Icon],"")</f>
        <v/>
      </c>
      <c r="V835" s="5" t="str">
        <f t="array" ref="V835">XLOOKUP(U835,Skills[Action],Skills[Icon],"")</f>
        <v/>
      </c>
    </row>
    <row r="836">
      <c r="C836" s="7">
        <v>0.009652777777777777</v>
      </c>
      <c r="L836" s="5" t="str">
        <f t="array" ref="L836">XLOOKUP(K836,Skills[Action],Skills[Icon],"")</f>
        <v/>
      </c>
      <c r="N836" s="5" t="str">
        <f t="array" ref="N836">XLOOKUP(M836,Skills[Action],Skills[Icon],"")</f>
        <v/>
      </c>
      <c r="P836" s="5" t="str">
        <f t="array" ref="P836">XLOOKUP(O836,Skills[Action],Skills[Icon],"")</f>
        <v/>
      </c>
      <c r="R836" s="5" t="str">
        <f t="array" ref="R836">XLOOKUP(Q836,Skills[Action],Skills[Icon],"")</f>
        <v/>
      </c>
      <c r="T836" s="5" t="str">
        <f t="array" ref="T836">XLOOKUP(S836,Skills[Action],Skills[Icon],"")</f>
        <v/>
      </c>
      <c r="V836" s="5" t="str">
        <f t="array" ref="V836">XLOOKUP(U836,Skills[Action],Skills[Icon],"")</f>
        <v/>
      </c>
    </row>
    <row r="837">
      <c r="C837" s="7">
        <v>0.009664351851851851</v>
      </c>
      <c r="L837" s="5" t="str">
        <f t="array" ref="L837">XLOOKUP(K837,Skills[Action],Skills[Icon],"")</f>
        <v/>
      </c>
      <c r="N837" s="5" t="str">
        <f t="array" ref="N837">XLOOKUP(M837,Skills[Action],Skills[Icon],"")</f>
        <v/>
      </c>
      <c r="P837" s="5" t="str">
        <f t="array" ref="P837">XLOOKUP(O837,Skills[Action],Skills[Icon],"")</f>
        <v/>
      </c>
      <c r="R837" s="5" t="str">
        <f t="array" ref="R837">XLOOKUP(Q837,Skills[Action],Skills[Icon],"")</f>
        <v/>
      </c>
      <c r="T837" s="5" t="str">
        <f t="array" ref="T837">XLOOKUP(S837,Skills[Action],Skills[Icon],"")</f>
        <v/>
      </c>
      <c r="V837" s="5" t="str">
        <f t="array" ref="V837">XLOOKUP(U837,Skills[Action],Skills[Icon],"")</f>
        <v/>
      </c>
    </row>
    <row r="838">
      <c r="C838" s="7">
        <v>0.009675925925925926</v>
      </c>
      <c r="L838" s="5" t="str">
        <f t="array" ref="L838">XLOOKUP(K838,Skills[Action],Skills[Icon],"")</f>
        <v/>
      </c>
      <c r="N838" s="5" t="str">
        <f t="array" ref="N838">XLOOKUP(M838,Skills[Action],Skills[Icon],"")</f>
        <v/>
      </c>
      <c r="P838" s="5" t="str">
        <f t="array" ref="P838">XLOOKUP(O838,Skills[Action],Skills[Icon],"")</f>
        <v/>
      </c>
      <c r="R838" s="5" t="str">
        <f t="array" ref="R838">XLOOKUP(Q838,Skills[Action],Skills[Icon],"")</f>
        <v/>
      </c>
      <c r="T838" s="5" t="str">
        <f t="array" ref="T838">XLOOKUP(S838,Skills[Action],Skills[Icon],"")</f>
        <v/>
      </c>
      <c r="V838" s="5" t="str">
        <f t="array" ref="V838">XLOOKUP(U838,Skills[Action],Skills[Icon],"")</f>
        <v/>
      </c>
    </row>
    <row r="839">
      <c r="C839" s="7">
        <v>0.0096875</v>
      </c>
      <c r="L839" s="5" t="str">
        <f t="array" ref="L839">XLOOKUP(K839,Skills[Action],Skills[Icon],"")</f>
        <v/>
      </c>
      <c r="N839" s="5" t="str">
        <f t="array" ref="N839">XLOOKUP(M839,Skills[Action],Skills[Icon],"")</f>
        <v/>
      </c>
      <c r="P839" s="5" t="str">
        <f t="array" ref="P839">XLOOKUP(O839,Skills[Action],Skills[Icon],"")</f>
        <v/>
      </c>
      <c r="R839" s="5" t="str">
        <f t="array" ref="R839">XLOOKUP(Q839,Skills[Action],Skills[Icon],"")</f>
        <v/>
      </c>
      <c r="T839" s="5" t="str">
        <f t="array" ref="T839">XLOOKUP(S839,Skills[Action],Skills[Icon],"")</f>
        <v/>
      </c>
      <c r="V839" s="5" t="str">
        <f t="array" ref="V839">XLOOKUP(U839,Skills[Action],Skills[Icon],"")</f>
        <v/>
      </c>
    </row>
    <row r="840">
      <c r="C840" s="7">
        <v>0.009699074074074074</v>
      </c>
      <c r="L840" s="5" t="str">
        <f t="array" ref="L840">XLOOKUP(K840,Skills[Action],Skills[Icon],"")</f>
        <v/>
      </c>
      <c r="N840" s="5" t="str">
        <f t="array" ref="N840">XLOOKUP(M840,Skills[Action],Skills[Icon],"")</f>
        <v/>
      </c>
      <c r="P840" s="5" t="str">
        <f t="array" ref="P840">XLOOKUP(O840,Skills[Action],Skills[Icon],"")</f>
        <v/>
      </c>
      <c r="R840" s="5" t="str">
        <f t="array" ref="R840">XLOOKUP(Q840,Skills[Action],Skills[Icon],"")</f>
        <v/>
      </c>
      <c r="T840" s="5" t="str">
        <f t="array" ref="T840">XLOOKUP(S840,Skills[Action],Skills[Icon],"")</f>
        <v/>
      </c>
      <c r="V840" s="5" t="str">
        <f t="array" ref="V840">XLOOKUP(U840,Skills[Action],Skills[Icon],"")</f>
        <v/>
      </c>
    </row>
    <row r="841">
      <c r="C841" s="7">
        <v>0.009710648148148149</v>
      </c>
      <c r="L841" s="5" t="str">
        <f t="array" ref="L841">XLOOKUP(K841,Skills[Action],Skills[Icon],"")</f>
        <v/>
      </c>
      <c r="N841" s="5" t="str">
        <f t="array" ref="N841">XLOOKUP(M841,Skills[Action],Skills[Icon],"")</f>
        <v/>
      </c>
      <c r="P841" s="5" t="str">
        <f t="array" ref="P841">XLOOKUP(O841,Skills[Action],Skills[Icon],"")</f>
        <v/>
      </c>
      <c r="R841" s="5" t="str">
        <f t="array" ref="R841">XLOOKUP(Q841,Skills[Action],Skills[Icon],"")</f>
        <v/>
      </c>
      <c r="T841" s="5" t="str">
        <f t="array" ref="T841">XLOOKUP(S841,Skills[Action],Skills[Icon],"")</f>
        <v/>
      </c>
      <c r="V841" s="5" t="str">
        <f t="array" ref="V841">XLOOKUP(U841,Skills[Action],Skills[Icon],"")</f>
        <v/>
      </c>
    </row>
    <row r="842">
      <c r="C842" s="7">
        <v>0.009722222222222222</v>
      </c>
      <c r="L842" s="5" t="str">
        <f t="array" ref="L842">XLOOKUP(K842,Skills[Action],Skills[Icon],"")</f>
        <v/>
      </c>
      <c r="N842" s="5" t="str">
        <f t="array" ref="N842">XLOOKUP(M842,Skills[Action],Skills[Icon],"")</f>
        <v/>
      </c>
      <c r="P842" s="5" t="str">
        <f t="array" ref="P842">XLOOKUP(O842,Skills[Action],Skills[Icon],"")</f>
        <v/>
      </c>
      <c r="R842" s="5" t="str">
        <f t="array" ref="R842">XLOOKUP(Q842,Skills[Action],Skills[Icon],"")</f>
        <v/>
      </c>
      <c r="T842" s="5" t="str">
        <f t="array" ref="T842">XLOOKUP(S842,Skills[Action],Skills[Icon],"")</f>
        <v/>
      </c>
      <c r="V842" s="5" t="str">
        <f t="array" ref="V842">XLOOKUP(U842,Skills[Action],Skills[Icon],"")</f>
        <v/>
      </c>
    </row>
    <row r="843">
      <c r="C843" s="7">
        <v>0.009733796296296296</v>
      </c>
      <c r="L843" s="5" t="str">
        <f t="array" ref="L843">XLOOKUP(K843,Skills[Action],Skills[Icon],"")</f>
        <v/>
      </c>
      <c r="N843" s="5" t="str">
        <f t="array" ref="N843">XLOOKUP(M843,Skills[Action],Skills[Icon],"")</f>
        <v/>
      </c>
      <c r="P843" s="5" t="str">
        <f t="array" ref="P843">XLOOKUP(O843,Skills[Action],Skills[Icon],"")</f>
        <v/>
      </c>
      <c r="R843" s="5" t="str">
        <f t="array" ref="R843">XLOOKUP(Q843,Skills[Action],Skills[Icon],"")</f>
        <v/>
      </c>
      <c r="T843" s="5" t="str">
        <f t="array" ref="T843">XLOOKUP(S843,Skills[Action],Skills[Icon],"")</f>
        <v/>
      </c>
      <c r="V843" s="5" t="str">
        <f t="array" ref="V843">XLOOKUP(U843,Skills[Action],Skills[Icon],"")</f>
        <v/>
      </c>
    </row>
    <row r="844">
      <c r="C844" s="7">
        <v>0.00974537037037037</v>
      </c>
      <c r="L844" s="5" t="str">
        <f t="array" ref="L844">XLOOKUP(K844,Skills[Action],Skills[Icon],"")</f>
        <v/>
      </c>
      <c r="N844" s="5" t="str">
        <f t="array" ref="N844">XLOOKUP(M844,Skills[Action],Skills[Icon],"")</f>
        <v/>
      </c>
      <c r="P844" s="5" t="str">
        <f t="array" ref="P844">XLOOKUP(O844,Skills[Action],Skills[Icon],"")</f>
        <v/>
      </c>
      <c r="R844" s="5" t="str">
        <f t="array" ref="R844">XLOOKUP(Q844,Skills[Action],Skills[Icon],"")</f>
        <v/>
      </c>
      <c r="T844" s="5" t="str">
        <f t="array" ref="T844">XLOOKUP(S844,Skills[Action],Skills[Icon],"")</f>
        <v/>
      </c>
      <c r="V844" s="5" t="str">
        <f t="array" ref="V844">XLOOKUP(U844,Skills[Action],Skills[Icon],"")</f>
        <v/>
      </c>
    </row>
    <row r="845">
      <c r="C845" s="7">
        <v>0.009756944444444445</v>
      </c>
      <c r="L845" s="5" t="str">
        <f t="array" ref="L845">XLOOKUP(K845,Skills[Action],Skills[Icon],"")</f>
        <v/>
      </c>
      <c r="N845" s="5" t="str">
        <f t="array" ref="N845">XLOOKUP(M845,Skills[Action],Skills[Icon],"")</f>
        <v/>
      </c>
      <c r="P845" s="5" t="str">
        <f t="array" ref="P845">XLOOKUP(O845,Skills[Action],Skills[Icon],"")</f>
        <v/>
      </c>
      <c r="R845" s="5" t="str">
        <f t="array" ref="R845">XLOOKUP(Q845,Skills[Action],Skills[Icon],"")</f>
        <v/>
      </c>
      <c r="T845" s="5" t="str">
        <f t="array" ref="T845">XLOOKUP(S845,Skills[Action],Skills[Icon],"")</f>
        <v/>
      </c>
      <c r="V845" s="5" t="str">
        <f t="array" ref="V845">XLOOKUP(U845,Skills[Action],Skills[Icon],"")</f>
        <v/>
      </c>
    </row>
    <row r="846">
      <c r="C846" s="7">
        <v>0.009768518518518518</v>
      </c>
      <c r="L846" s="5" t="str">
        <f t="array" ref="L846">XLOOKUP(K846,Skills[Action],Skills[Icon],"")</f>
        <v/>
      </c>
      <c r="N846" s="5" t="str">
        <f t="array" ref="N846">XLOOKUP(M846,Skills[Action],Skills[Icon],"")</f>
        <v/>
      </c>
      <c r="P846" s="5" t="str">
        <f t="array" ref="P846">XLOOKUP(O846,Skills[Action],Skills[Icon],"")</f>
        <v/>
      </c>
      <c r="R846" s="5" t="str">
        <f t="array" ref="R846">XLOOKUP(Q846,Skills[Action],Skills[Icon],"")</f>
        <v/>
      </c>
      <c r="T846" s="5" t="str">
        <f t="array" ref="T846">XLOOKUP(S846,Skills[Action],Skills[Icon],"")</f>
        <v/>
      </c>
      <c r="V846" s="5" t="str">
        <f t="array" ref="V846">XLOOKUP(U846,Skills[Action],Skills[Icon],"")</f>
        <v/>
      </c>
    </row>
    <row r="847">
      <c r="C847" s="7">
        <v>0.009780092592592592</v>
      </c>
      <c r="L847" s="5" t="str">
        <f t="array" ref="L847">XLOOKUP(K847,Skills[Action],Skills[Icon],"")</f>
        <v/>
      </c>
      <c r="N847" s="5" t="str">
        <f t="array" ref="N847">XLOOKUP(M847,Skills[Action],Skills[Icon],"")</f>
        <v/>
      </c>
      <c r="P847" s="5" t="str">
        <f t="array" ref="P847">XLOOKUP(O847,Skills[Action],Skills[Icon],"")</f>
        <v/>
      </c>
      <c r="R847" s="5" t="str">
        <f t="array" ref="R847">XLOOKUP(Q847,Skills[Action],Skills[Icon],"")</f>
        <v/>
      </c>
      <c r="T847" s="5" t="str">
        <f t="array" ref="T847">XLOOKUP(S847,Skills[Action],Skills[Icon],"")</f>
        <v/>
      </c>
      <c r="V847" s="5" t="str">
        <f t="array" ref="V847">XLOOKUP(U847,Skills[Action],Skills[Icon],"")</f>
        <v/>
      </c>
    </row>
    <row r="848">
      <c r="C848" s="7">
        <v>0.009791666666666667</v>
      </c>
      <c r="L848" s="5" t="str">
        <f t="array" ref="L848">XLOOKUP(K848,Skills[Action],Skills[Icon],"")</f>
        <v/>
      </c>
      <c r="N848" s="5" t="str">
        <f t="array" ref="N848">XLOOKUP(M848,Skills[Action],Skills[Icon],"")</f>
        <v/>
      </c>
      <c r="P848" s="5" t="str">
        <f t="array" ref="P848">XLOOKUP(O848,Skills[Action],Skills[Icon],"")</f>
        <v/>
      </c>
      <c r="R848" s="5" t="str">
        <f t="array" ref="R848">XLOOKUP(Q848,Skills[Action],Skills[Icon],"")</f>
        <v/>
      </c>
      <c r="T848" s="5" t="str">
        <f t="array" ref="T848">XLOOKUP(S848,Skills[Action],Skills[Icon],"")</f>
        <v/>
      </c>
      <c r="V848" s="5" t="str">
        <f t="array" ref="V848">XLOOKUP(U848,Skills[Action],Skills[Icon],"")</f>
        <v/>
      </c>
    </row>
    <row r="849">
      <c r="C849" s="7">
        <v>0.00980324074074074</v>
      </c>
      <c r="L849" s="5" t="str">
        <f t="array" ref="L849">XLOOKUP(K849,Skills[Action],Skills[Icon],"")</f>
        <v/>
      </c>
      <c r="N849" s="5" t="str">
        <f t="array" ref="N849">XLOOKUP(M849,Skills[Action],Skills[Icon],"")</f>
        <v/>
      </c>
      <c r="P849" s="5" t="str">
        <f t="array" ref="P849">XLOOKUP(O849,Skills[Action],Skills[Icon],"")</f>
        <v/>
      </c>
      <c r="R849" s="5" t="str">
        <f t="array" ref="R849">XLOOKUP(Q849,Skills[Action],Skills[Icon],"")</f>
        <v/>
      </c>
      <c r="T849" s="5" t="str">
        <f t="array" ref="T849">XLOOKUP(S849,Skills[Action],Skills[Icon],"")</f>
        <v/>
      </c>
      <c r="V849" s="5" t="str">
        <f t="array" ref="V849">XLOOKUP(U849,Skills[Action],Skills[Icon],"")</f>
        <v/>
      </c>
    </row>
    <row r="850">
      <c r="C850" s="7">
        <v>0.009814814814814814</v>
      </c>
      <c r="L850" s="5" t="str">
        <f t="array" ref="L850">XLOOKUP(K850,Skills[Action],Skills[Icon],"")</f>
        <v/>
      </c>
      <c r="N850" s="5" t="str">
        <f t="array" ref="N850">XLOOKUP(M850,Skills[Action],Skills[Icon],"")</f>
        <v/>
      </c>
      <c r="P850" s="5" t="str">
        <f t="array" ref="P850">XLOOKUP(O850,Skills[Action],Skills[Icon],"")</f>
        <v/>
      </c>
      <c r="R850" s="5" t="str">
        <f t="array" ref="R850">XLOOKUP(Q850,Skills[Action],Skills[Icon],"")</f>
        <v/>
      </c>
      <c r="T850" s="5" t="str">
        <f t="array" ref="T850">XLOOKUP(S850,Skills[Action],Skills[Icon],"")</f>
        <v/>
      </c>
      <c r="V850" s="5" t="str">
        <f t="array" ref="V850">XLOOKUP(U850,Skills[Action],Skills[Icon],"")</f>
        <v/>
      </c>
    </row>
    <row r="851">
      <c r="C851" s="7">
        <v>0.00982638888888889</v>
      </c>
      <c r="L851" s="5" t="str">
        <f t="array" ref="L851">XLOOKUP(K851,Skills[Action],Skills[Icon],"")</f>
        <v/>
      </c>
      <c r="N851" s="5" t="str">
        <f t="array" ref="N851">XLOOKUP(M851,Skills[Action],Skills[Icon],"")</f>
        <v/>
      </c>
      <c r="P851" s="5" t="str">
        <f t="array" ref="P851">XLOOKUP(O851,Skills[Action],Skills[Icon],"")</f>
        <v/>
      </c>
      <c r="R851" s="5" t="str">
        <f t="array" ref="R851">XLOOKUP(Q851,Skills[Action],Skills[Icon],"")</f>
        <v/>
      </c>
      <c r="T851" s="5" t="str">
        <f t="array" ref="T851">XLOOKUP(S851,Skills[Action],Skills[Icon],"")</f>
        <v/>
      </c>
      <c r="V851" s="5" t="str">
        <f t="array" ref="V851">XLOOKUP(U851,Skills[Action],Skills[Icon],"")</f>
        <v/>
      </c>
    </row>
    <row r="852">
      <c r="C852" s="7">
        <v>0.009837962962962963</v>
      </c>
      <c r="L852" s="5" t="str">
        <f t="array" ref="L852">XLOOKUP(K852,Skills[Action],Skills[Icon],"")</f>
        <v/>
      </c>
      <c r="N852" s="5" t="str">
        <f t="array" ref="N852">XLOOKUP(M852,Skills[Action],Skills[Icon],"")</f>
        <v/>
      </c>
      <c r="P852" s="5" t="str">
        <f t="array" ref="P852">XLOOKUP(O852,Skills[Action],Skills[Icon],"")</f>
        <v/>
      </c>
      <c r="R852" s="5" t="str">
        <f t="array" ref="R852">XLOOKUP(Q852,Skills[Action],Skills[Icon],"")</f>
        <v/>
      </c>
      <c r="T852" s="5" t="str">
        <f t="array" ref="T852">XLOOKUP(S852,Skills[Action],Skills[Icon],"")</f>
        <v/>
      </c>
      <c r="V852" s="5" t="str">
        <f t="array" ref="V852">XLOOKUP(U852,Skills[Action],Skills[Icon],"")</f>
        <v/>
      </c>
    </row>
    <row r="853">
      <c r="C853" s="7">
        <v>0.009849537037037037</v>
      </c>
      <c r="L853" s="5" t="str">
        <f t="array" ref="L853">XLOOKUP(K853,Skills[Action],Skills[Icon],"")</f>
        <v/>
      </c>
      <c r="N853" s="5" t="str">
        <f t="array" ref="N853">XLOOKUP(M853,Skills[Action],Skills[Icon],"")</f>
        <v/>
      </c>
      <c r="P853" s="5" t="str">
        <f t="array" ref="P853">XLOOKUP(O853,Skills[Action],Skills[Icon],"")</f>
        <v/>
      </c>
      <c r="R853" s="5" t="str">
        <f t="array" ref="R853">XLOOKUP(Q853,Skills[Action],Skills[Icon],"")</f>
        <v/>
      </c>
      <c r="T853" s="5" t="str">
        <f t="array" ref="T853">XLOOKUP(S853,Skills[Action],Skills[Icon],"")</f>
        <v/>
      </c>
      <c r="V853" s="5" t="str">
        <f t="array" ref="V853">XLOOKUP(U853,Skills[Action],Skills[Icon],"")</f>
        <v/>
      </c>
    </row>
    <row r="854">
      <c r="C854" s="7">
        <v>0.00986111111111111</v>
      </c>
      <c r="L854" s="5" t="str">
        <f t="array" ref="L854">XLOOKUP(K854,Skills[Action],Skills[Icon],"")</f>
        <v/>
      </c>
      <c r="N854" s="5" t="str">
        <f t="array" ref="N854">XLOOKUP(M854,Skills[Action],Skills[Icon],"")</f>
        <v/>
      </c>
      <c r="P854" s="5" t="str">
        <f t="array" ref="P854">XLOOKUP(O854,Skills[Action],Skills[Icon],"")</f>
        <v/>
      </c>
      <c r="R854" s="5" t="str">
        <f t="array" ref="R854">XLOOKUP(Q854,Skills[Action],Skills[Icon],"")</f>
        <v/>
      </c>
      <c r="T854" s="5" t="str">
        <f t="array" ref="T854">XLOOKUP(S854,Skills[Action],Skills[Icon],"")</f>
        <v/>
      </c>
      <c r="V854" s="5" t="str">
        <f t="array" ref="V854">XLOOKUP(U854,Skills[Action],Skills[Icon],"")</f>
        <v/>
      </c>
    </row>
    <row r="855">
      <c r="C855" s="7">
        <v>0.009872685185185186</v>
      </c>
      <c r="L855" s="5" t="str">
        <f t="array" ref="L855">XLOOKUP(K855,Skills[Action],Skills[Icon],"")</f>
        <v/>
      </c>
      <c r="N855" s="5" t="str">
        <f t="array" ref="N855">XLOOKUP(M855,Skills[Action],Skills[Icon],"")</f>
        <v/>
      </c>
      <c r="P855" s="5" t="str">
        <f t="array" ref="P855">XLOOKUP(O855,Skills[Action],Skills[Icon],"")</f>
        <v/>
      </c>
      <c r="R855" s="5" t="str">
        <f t="array" ref="R855">XLOOKUP(Q855,Skills[Action],Skills[Icon],"")</f>
        <v/>
      </c>
      <c r="T855" s="5" t="str">
        <f t="array" ref="T855">XLOOKUP(S855,Skills[Action],Skills[Icon],"")</f>
        <v/>
      </c>
      <c r="V855" s="5" t="str">
        <f t="array" ref="V855">XLOOKUP(U855,Skills[Action],Skills[Icon],"")</f>
        <v/>
      </c>
    </row>
    <row r="856">
      <c r="C856" s="7">
        <v>0.00988425925925926</v>
      </c>
      <c r="L856" s="5" t="str">
        <f t="array" ref="L856">XLOOKUP(K856,Skills[Action],Skills[Icon],"")</f>
        <v/>
      </c>
      <c r="N856" s="5" t="str">
        <f t="array" ref="N856">XLOOKUP(M856,Skills[Action],Skills[Icon],"")</f>
        <v/>
      </c>
      <c r="P856" s="5" t="str">
        <f t="array" ref="P856">XLOOKUP(O856,Skills[Action],Skills[Icon],"")</f>
        <v/>
      </c>
      <c r="R856" s="5" t="str">
        <f t="array" ref="R856">XLOOKUP(Q856,Skills[Action],Skills[Icon],"")</f>
        <v/>
      </c>
      <c r="T856" s="5" t="str">
        <f t="array" ref="T856">XLOOKUP(S856,Skills[Action],Skills[Icon],"")</f>
        <v/>
      </c>
      <c r="V856" s="5" t="str">
        <f t="array" ref="V856">XLOOKUP(U856,Skills[Action],Skills[Icon],"")</f>
        <v/>
      </c>
    </row>
    <row r="857">
      <c r="C857" s="7">
        <v>0.009895833333333333</v>
      </c>
      <c r="L857" s="5" t="str">
        <f t="array" ref="L857">XLOOKUP(K857,Skills[Action],Skills[Icon],"")</f>
        <v/>
      </c>
      <c r="N857" s="5" t="str">
        <f t="array" ref="N857">XLOOKUP(M857,Skills[Action],Skills[Icon],"")</f>
        <v/>
      </c>
      <c r="P857" s="5" t="str">
        <f t="array" ref="P857">XLOOKUP(O857,Skills[Action],Skills[Icon],"")</f>
        <v/>
      </c>
      <c r="R857" s="5" t="str">
        <f t="array" ref="R857">XLOOKUP(Q857,Skills[Action],Skills[Icon],"")</f>
        <v/>
      </c>
      <c r="T857" s="5" t="str">
        <f t="array" ref="T857">XLOOKUP(S857,Skills[Action],Skills[Icon],"")</f>
        <v/>
      </c>
      <c r="V857" s="5" t="str">
        <f t="array" ref="V857">XLOOKUP(U857,Skills[Action],Skills[Icon],"")</f>
        <v/>
      </c>
    </row>
    <row r="858">
      <c r="C858" s="7">
        <v>0.009907407407407408</v>
      </c>
      <c r="L858" s="5" t="str">
        <f t="array" ref="L858">XLOOKUP(K858,Skills[Action],Skills[Icon],"")</f>
        <v/>
      </c>
      <c r="N858" s="5" t="str">
        <f t="array" ref="N858">XLOOKUP(M858,Skills[Action],Skills[Icon],"")</f>
        <v/>
      </c>
      <c r="P858" s="5" t="str">
        <f t="array" ref="P858">XLOOKUP(O858,Skills[Action],Skills[Icon],"")</f>
        <v/>
      </c>
      <c r="R858" s="5" t="str">
        <f t="array" ref="R858">XLOOKUP(Q858,Skills[Action],Skills[Icon],"")</f>
        <v/>
      </c>
      <c r="T858" s="5" t="str">
        <f t="array" ref="T858">XLOOKUP(S858,Skills[Action],Skills[Icon],"")</f>
        <v/>
      </c>
      <c r="V858" s="5" t="str">
        <f t="array" ref="V858">XLOOKUP(U858,Skills[Action],Skills[Icon],"")</f>
        <v/>
      </c>
    </row>
    <row r="859">
      <c r="C859" s="7">
        <v>0.009918981481481482</v>
      </c>
      <c r="L859" s="5" t="str">
        <f t="array" ref="L859">XLOOKUP(K859,Skills[Action],Skills[Icon],"")</f>
        <v/>
      </c>
      <c r="N859" s="5" t="str">
        <f t="array" ref="N859">XLOOKUP(M859,Skills[Action],Skills[Icon],"")</f>
        <v/>
      </c>
      <c r="P859" s="5" t="str">
        <f t="array" ref="P859">XLOOKUP(O859,Skills[Action],Skills[Icon],"")</f>
        <v/>
      </c>
      <c r="R859" s="5" t="str">
        <f t="array" ref="R859">XLOOKUP(Q859,Skills[Action],Skills[Icon],"")</f>
        <v/>
      </c>
      <c r="T859" s="5" t="str">
        <f t="array" ref="T859">XLOOKUP(S859,Skills[Action],Skills[Icon],"")</f>
        <v/>
      </c>
      <c r="V859" s="5" t="str">
        <f t="array" ref="V859">XLOOKUP(U859,Skills[Action],Skills[Icon],"")</f>
        <v/>
      </c>
    </row>
    <row r="860">
      <c r="C860" s="7">
        <v>0.009930555555555555</v>
      </c>
      <c r="L860" s="5" t="str">
        <f t="array" ref="L860">XLOOKUP(K860,Skills[Action],Skills[Icon],"")</f>
        <v/>
      </c>
      <c r="N860" s="5" t="str">
        <f t="array" ref="N860">XLOOKUP(M860,Skills[Action],Skills[Icon],"")</f>
        <v/>
      </c>
      <c r="P860" s="5" t="str">
        <f t="array" ref="P860">XLOOKUP(O860,Skills[Action],Skills[Icon],"")</f>
        <v/>
      </c>
      <c r="R860" s="5" t="str">
        <f t="array" ref="R860">XLOOKUP(Q860,Skills[Action],Skills[Icon],"")</f>
        <v/>
      </c>
      <c r="T860" s="5" t="str">
        <f t="array" ref="T860">XLOOKUP(S860,Skills[Action],Skills[Icon],"")</f>
        <v/>
      </c>
      <c r="V860" s="5" t="str">
        <f t="array" ref="V860">XLOOKUP(U860,Skills[Action],Skills[Icon],"")</f>
        <v/>
      </c>
    </row>
    <row r="861">
      <c r="C861" s="7">
        <v>0.009942129629629629</v>
      </c>
      <c r="L861" s="5" t="str">
        <f t="array" ref="L861">XLOOKUP(K861,Skills[Action],Skills[Icon],"")</f>
        <v/>
      </c>
      <c r="N861" s="5" t="str">
        <f t="array" ref="N861">XLOOKUP(M861,Skills[Action],Skills[Icon],"")</f>
        <v/>
      </c>
      <c r="P861" s="5" t="str">
        <f t="array" ref="P861">XLOOKUP(O861,Skills[Action],Skills[Icon],"")</f>
        <v/>
      </c>
      <c r="R861" s="5" t="str">
        <f t="array" ref="R861">XLOOKUP(Q861,Skills[Action],Skills[Icon],"")</f>
        <v/>
      </c>
      <c r="T861" s="5" t="str">
        <f t="array" ref="T861">XLOOKUP(S861,Skills[Action],Skills[Icon],"")</f>
        <v/>
      </c>
      <c r="V861" s="5" t="str">
        <f t="array" ref="V861">XLOOKUP(U861,Skills[Action],Skills[Icon],"")</f>
        <v/>
      </c>
    </row>
    <row r="862">
      <c r="C862" s="7">
        <v>0.009953703703703704</v>
      </c>
      <c r="L862" s="5" t="str">
        <f t="array" ref="L862">XLOOKUP(K862,Skills[Action],Skills[Icon],"")</f>
        <v/>
      </c>
      <c r="N862" s="5" t="str">
        <f t="array" ref="N862">XLOOKUP(M862,Skills[Action],Skills[Icon],"")</f>
        <v/>
      </c>
      <c r="P862" s="5" t="str">
        <f t="array" ref="P862">XLOOKUP(O862,Skills[Action],Skills[Icon],"")</f>
        <v/>
      </c>
      <c r="R862" s="5" t="str">
        <f t="array" ref="R862">XLOOKUP(Q862,Skills[Action],Skills[Icon],"")</f>
        <v/>
      </c>
      <c r="T862" s="5" t="str">
        <f t="array" ref="T862">XLOOKUP(S862,Skills[Action],Skills[Icon],"")</f>
        <v/>
      </c>
      <c r="V862" s="5" t="str">
        <f t="array" ref="V862">XLOOKUP(U862,Skills[Action],Skills[Icon],"")</f>
        <v/>
      </c>
    </row>
    <row r="863">
      <c r="C863" s="7">
        <v>0.009965277777777778</v>
      </c>
      <c r="L863" s="5" t="str">
        <f t="array" ref="L863">XLOOKUP(K863,Skills[Action],Skills[Icon],"")</f>
        <v/>
      </c>
      <c r="N863" s="5" t="str">
        <f t="array" ref="N863">XLOOKUP(M863,Skills[Action],Skills[Icon],"")</f>
        <v/>
      </c>
      <c r="P863" s="5" t="str">
        <f t="array" ref="P863">XLOOKUP(O863,Skills[Action],Skills[Icon],"")</f>
        <v/>
      </c>
      <c r="R863" s="5" t="str">
        <f t="array" ref="R863">XLOOKUP(Q863,Skills[Action],Skills[Icon],"")</f>
        <v/>
      </c>
      <c r="T863" s="5" t="str">
        <f t="array" ref="T863">XLOOKUP(S863,Skills[Action],Skills[Icon],"")</f>
        <v/>
      </c>
      <c r="V863" s="5" t="str">
        <f t="array" ref="V863">XLOOKUP(U863,Skills[Action],Skills[Icon],"")</f>
        <v/>
      </c>
    </row>
    <row r="864">
      <c r="C864" s="7">
        <v>0.009976851851851851</v>
      </c>
      <c r="L864" s="5" t="str">
        <f t="array" ref="L864">XLOOKUP(K864,Skills[Action],Skills[Icon],"")</f>
        <v/>
      </c>
      <c r="N864" s="5" t="str">
        <f t="array" ref="N864">XLOOKUP(M864,Skills[Action],Skills[Icon],"")</f>
        <v/>
      </c>
      <c r="P864" s="5" t="str">
        <f t="array" ref="P864">XLOOKUP(O864,Skills[Action],Skills[Icon],"")</f>
        <v/>
      </c>
      <c r="R864" s="5" t="str">
        <f t="array" ref="R864">XLOOKUP(Q864,Skills[Action],Skills[Icon],"")</f>
        <v/>
      </c>
      <c r="T864" s="5" t="str">
        <f t="array" ref="T864">XLOOKUP(S864,Skills[Action],Skills[Icon],"")</f>
        <v/>
      </c>
      <c r="V864" s="5" t="str">
        <f t="array" ref="V864">XLOOKUP(U864,Skills[Action],Skills[Icon],"")</f>
        <v/>
      </c>
    </row>
    <row r="865">
      <c r="C865" s="7">
        <v>0.009988425925925927</v>
      </c>
      <c r="L865" s="5" t="str">
        <f t="array" ref="L865">XLOOKUP(K865,Skills[Action],Skills[Icon],"")</f>
        <v/>
      </c>
      <c r="N865" s="5" t="str">
        <f t="array" ref="N865">XLOOKUP(M865,Skills[Action],Skills[Icon],"")</f>
        <v/>
      </c>
      <c r="P865" s="5" t="str">
        <f t="array" ref="P865">XLOOKUP(O865,Skills[Action],Skills[Icon],"")</f>
        <v/>
      </c>
      <c r="R865" s="5" t="str">
        <f t="array" ref="R865">XLOOKUP(Q865,Skills[Action],Skills[Icon],"")</f>
        <v/>
      </c>
      <c r="T865" s="5" t="str">
        <f t="array" ref="T865">XLOOKUP(S865,Skills[Action],Skills[Icon],"")</f>
        <v/>
      </c>
      <c r="V865" s="5" t="str">
        <f t="array" ref="V865">XLOOKUP(U865,Skills[Action],Skills[Icon],"")</f>
        <v/>
      </c>
    </row>
    <row r="866">
      <c r="C866" s="7">
        <v>0.01</v>
      </c>
      <c r="L866" s="5" t="str">
        <f t="array" ref="L866">XLOOKUP(K866,Skills[Action],Skills[Icon],"")</f>
        <v/>
      </c>
      <c r="N866" s="5" t="str">
        <f t="array" ref="N866">XLOOKUP(M866,Skills[Action],Skills[Icon],"")</f>
        <v/>
      </c>
      <c r="P866" s="5" t="str">
        <f t="array" ref="P866">XLOOKUP(O866,Skills[Action],Skills[Icon],"")</f>
        <v/>
      </c>
      <c r="R866" s="5" t="str">
        <f t="array" ref="R866">XLOOKUP(Q866,Skills[Action],Skills[Icon],"")</f>
        <v/>
      </c>
      <c r="T866" s="5" t="str">
        <f t="array" ref="T866">XLOOKUP(S866,Skills[Action],Skills[Icon],"")</f>
        <v/>
      </c>
      <c r="V866" s="5" t="str">
        <f t="array" ref="V866">XLOOKUP(U866,Skills[Action],Skills[Icon],"")</f>
        <v/>
      </c>
    </row>
    <row r="867">
      <c r="C867" s="7">
        <v>0.010011574074074074</v>
      </c>
      <c r="L867" s="5" t="str">
        <f t="array" ref="L867">XLOOKUP(K867,Skills[Action],Skills[Icon],"")</f>
        <v/>
      </c>
      <c r="N867" s="5" t="str">
        <f t="array" ref="N867">XLOOKUP(M867,Skills[Action],Skills[Icon],"")</f>
        <v/>
      </c>
      <c r="P867" s="5" t="str">
        <f t="array" ref="P867">XLOOKUP(O867,Skills[Action],Skills[Icon],"")</f>
        <v/>
      </c>
      <c r="R867" s="5" t="str">
        <f t="array" ref="R867">XLOOKUP(Q867,Skills[Action],Skills[Icon],"")</f>
        <v/>
      </c>
      <c r="T867" s="5" t="str">
        <f t="array" ref="T867">XLOOKUP(S867,Skills[Action],Skills[Icon],"")</f>
        <v/>
      </c>
      <c r="V867" s="5" t="str">
        <f t="array" ref="V867">XLOOKUP(U867,Skills[Action],Skills[Icon],"")</f>
        <v/>
      </c>
    </row>
    <row r="868">
      <c r="C868" s="7">
        <v>0.010023148148148147</v>
      </c>
      <c r="L868" s="5" t="str">
        <f t="array" ref="L868">XLOOKUP(K868,Skills[Action],Skills[Icon],"")</f>
        <v/>
      </c>
      <c r="N868" s="5" t="str">
        <f t="array" ref="N868">XLOOKUP(M868,Skills[Action],Skills[Icon],"")</f>
        <v/>
      </c>
      <c r="P868" s="5" t="str">
        <f t="array" ref="P868">XLOOKUP(O868,Skills[Action],Skills[Icon],"")</f>
        <v/>
      </c>
      <c r="R868" s="5" t="str">
        <f t="array" ref="R868">XLOOKUP(Q868,Skills[Action],Skills[Icon],"")</f>
        <v/>
      </c>
      <c r="T868" s="5" t="str">
        <f t="array" ref="T868">XLOOKUP(S868,Skills[Action],Skills[Icon],"")</f>
        <v/>
      </c>
      <c r="V868" s="5" t="str">
        <f t="array" ref="V868">XLOOKUP(U868,Skills[Action],Skills[Icon],"")</f>
        <v/>
      </c>
    </row>
    <row r="869">
      <c r="C869" s="7">
        <v>0.010034722222222223</v>
      </c>
      <c r="L869" s="5" t="str">
        <f t="array" ref="L869">XLOOKUP(K869,Skills[Action],Skills[Icon],"")</f>
        <v/>
      </c>
      <c r="N869" s="5" t="str">
        <f t="array" ref="N869">XLOOKUP(M869,Skills[Action],Skills[Icon],"")</f>
        <v/>
      </c>
      <c r="P869" s="5" t="str">
        <f t="array" ref="P869">XLOOKUP(O869,Skills[Action],Skills[Icon],"")</f>
        <v/>
      </c>
      <c r="R869" s="5" t="str">
        <f t="array" ref="R869">XLOOKUP(Q869,Skills[Action],Skills[Icon],"")</f>
        <v/>
      </c>
      <c r="T869" s="5" t="str">
        <f t="array" ref="T869">XLOOKUP(S869,Skills[Action],Skills[Icon],"")</f>
        <v/>
      </c>
      <c r="V869" s="5" t="str">
        <f t="array" ref="V869">XLOOKUP(U869,Skills[Action],Skills[Icon],"")</f>
        <v/>
      </c>
    </row>
    <row r="870">
      <c r="C870" s="7">
        <v>0.010046296296296296</v>
      </c>
      <c r="L870" s="5" t="str">
        <f t="array" ref="L870">XLOOKUP(K870,Skills[Action],Skills[Icon],"")</f>
        <v/>
      </c>
      <c r="N870" s="5" t="str">
        <f t="array" ref="N870">XLOOKUP(M870,Skills[Action],Skills[Icon],"")</f>
        <v/>
      </c>
      <c r="P870" s="5" t="str">
        <f t="array" ref="P870">XLOOKUP(O870,Skills[Action],Skills[Icon],"")</f>
        <v/>
      </c>
      <c r="R870" s="5" t="str">
        <f t="array" ref="R870">XLOOKUP(Q870,Skills[Action],Skills[Icon],"")</f>
        <v/>
      </c>
      <c r="T870" s="5" t="str">
        <f t="array" ref="T870">XLOOKUP(S870,Skills[Action],Skills[Icon],"")</f>
        <v/>
      </c>
      <c r="V870" s="5" t="str">
        <f t="array" ref="V870">XLOOKUP(U870,Skills[Action],Skills[Icon],"")</f>
        <v/>
      </c>
    </row>
    <row r="871">
      <c r="C871" s="7">
        <v>0.01005787037037037</v>
      </c>
      <c r="L871" s="5" t="str">
        <f t="array" ref="L871">XLOOKUP(K871,Skills[Action],Skills[Icon],"")</f>
        <v/>
      </c>
      <c r="N871" s="5" t="str">
        <f t="array" ref="N871">XLOOKUP(M871,Skills[Action],Skills[Icon],"")</f>
        <v/>
      </c>
      <c r="P871" s="5" t="str">
        <f t="array" ref="P871">XLOOKUP(O871,Skills[Action],Skills[Icon],"")</f>
        <v/>
      </c>
      <c r="R871" s="5" t="str">
        <f t="array" ref="R871">XLOOKUP(Q871,Skills[Action],Skills[Icon],"")</f>
        <v/>
      </c>
      <c r="T871" s="5" t="str">
        <f t="array" ref="T871">XLOOKUP(S871,Skills[Action],Skills[Icon],"")</f>
        <v/>
      </c>
      <c r="V871" s="5" t="str">
        <f t="array" ref="V871">XLOOKUP(U871,Skills[Action],Skills[Icon],"")</f>
        <v/>
      </c>
    </row>
    <row r="872">
      <c r="C872" s="7">
        <v>0.010069444444444445</v>
      </c>
      <c r="L872" s="5" t="str">
        <f t="array" ref="L872">XLOOKUP(K872,Skills[Action],Skills[Icon],"")</f>
        <v/>
      </c>
      <c r="N872" s="5" t="str">
        <f t="array" ref="N872">XLOOKUP(M872,Skills[Action],Skills[Icon],"")</f>
        <v/>
      </c>
      <c r="P872" s="5" t="str">
        <f t="array" ref="P872">XLOOKUP(O872,Skills[Action],Skills[Icon],"")</f>
        <v/>
      </c>
      <c r="R872" s="5" t="str">
        <f t="array" ref="R872">XLOOKUP(Q872,Skills[Action],Skills[Icon],"")</f>
        <v/>
      </c>
      <c r="T872" s="5" t="str">
        <f t="array" ref="T872">XLOOKUP(S872,Skills[Action],Skills[Icon],"")</f>
        <v/>
      </c>
      <c r="V872" s="5" t="str">
        <f t="array" ref="V872">XLOOKUP(U872,Skills[Action],Skills[Icon],"")</f>
        <v/>
      </c>
    </row>
    <row r="873">
      <c r="C873" s="7">
        <v>0.010081018518518519</v>
      </c>
      <c r="L873" s="5" t="str">
        <f t="array" ref="L873">XLOOKUP(K873,Skills[Action],Skills[Icon],"")</f>
        <v/>
      </c>
      <c r="N873" s="5" t="str">
        <f t="array" ref="N873">XLOOKUP(M873,Skills[Action],Skills[Icon],"")</f>
        <v/>
      </c>
      <c r="P873" s="5" t="str">
        <f t="array" ref="P873">XLOOKUP(O873,Skills[Action],Skills[Icon],"")</f>
        <v/>
      </c>
      <c r="R873" s="5" t="str">
        <f t="array" ref="R873">XLOOKUP(Q873,Skills[Action],Skills[Icon],"")</f>
        <v/>
      </c>
      <c r="T873" s="5" t="str">
        <f t="array" ref="T873">XLOOKUP(S873,Skills[Action],Skills[Icon],"")</f>
        <v/>
      </c>
      <c r="V873" s="5" t="str">
        <f t="array" ref="V873">XLOOKUP(U873,Skills[Action],Skills[Icon],"")</f>
        <v/>
      </c>
    </row>
    <row r="874">
      <c r="C874" s="7">
        <v>0.010092592592592592</v>
      </c>
      <c r="L874" s="5" t="str">
        <f t="array" ref="L874">XLOOKUP(K874,Skills[Action],Skills[Icon],"")</f>
        <v/>
      </c>
      <c r="N874" s="5" t="str">
        <f t="array" ref="N874">XLOOKUP(M874,Skills[Action],Skills[Icon],"")</f>
        <v/>
      </c>
      <c r="P874" s="5" t="str">
        <f t="array" ref="P874">XLOOKUP(O874,Skills[Action],Skills[Icon],"")</f>
        <v/>
      </c>
      <c r="R874" s="5" t="str">
        <f t="array" ref="R874">XLOOKUP(Q874,Skills[Action],Skills[Icon],"")</f>
        <v/>
      </c>
      <c r="T874" s="5" t="str">
        <f t="array" ref="T874">XLOOKUP(S874,Skills[Action],Skills[Icon],"")</f>
        <v/>
      </c>
      <c r="V874" s="5" t="str">
        <f t="array" ref="V874">XLOOKUP(U874,Skills[Action],Skills[Icon],"")</f>
        <v/>
      </c>
    </row>
    <row r="875">
      <c r="C875" s="7">
        <v>0.010104166666666666</v>
      </c>
      <c r="L875" s="5" t="str">
        <f t="array" ref="L875">XLOOKUP(K875,Skills[Action],Skills[Icon],"")</f>
        <v/>
      </c>
      <c r="N875" s="5" t="str">
        <f t="array" ref="N875">XLOOKUP(M875,Skills[Action],Skills[Icon],"")</f>
        <v/>
      </c>
      <c r="P875" s="5" t="str">
        <f t="array" ref="P875">XLOOKUP(O875,Skills[Action],Skills[Icon],"")</f>
        <v/>
      </c>
      <c r="R875" s="5" t="str">
        <f t="array" ref="R875">XLOOKUP(Q875,Skills[Action],Skills[Icon],"")</f>
        <v/>
      </c>
      <c r="T875" s="5" t="str">
        <f t="array" ref="T875">XLOOKUP(S875,Skills[Action],Skills[Icon],"")</f>
        <v/>
      </c>
      <c r="V875" s="5" t="str">
        <f t="array" ref="V875">XLOOKUP(U875,Skills[Action],Skills[Icon],"")</f>
        <v/>
      </c>
    </row>
    <row r="876">
      <c r="C876" s="7">
        <v>0.010115740740740741</v>
      </c>
      <c r="L876" s="5" t="str">
        <f t="array" ref="L876">XLOOKUP(K876,Skills[Action],Skills[Icon],"")</f>
        <v/>
      </c>
      <c r="N876" s="5" t="str">
        <f t="array" ref="N876">XLOOKUP(M876,Skills[Action],Skills[Icon],"")</f>
        <v/>
      </c>
      <c r="P876" s="5" t="str">
        <f t="array" ref="P876">XLOOKUP(O876,Skills[Action],Skills[Icon],"")</f>
        <v/>
      </c>
      <c r="R876" s="5" t="str">
        <f t="array" ref="R876">XLOOKUP(Q876,Skills[Action],Skills[Icon],"")</f>
        <v/>
      </c>
      <c r="T876" s="5" t="str">
        <f t="array" ref="T876">XLOOKUP(S876,Skills[Action],Skills[Icon],"")</f>
        <v/>
      </c>
      <c r="V876" s="5" t="str">
        <f t="array" ref="V876">XLOOKUP(U876,Skills[Action],Skills[Icon],"")</f>
        <v/>
      </c>
    </row>
    <row r="877">
      <c r="C877" s="7">
        <v>0.010127314814814815</v>
      </c>
      <c r="L877" s="5" t="str">
        <f t="array" ref="L877">XLOOKUP(K877,Skills[Action],Skills[Icon],"")</f>
        <v/>
      </c>
      <c r="N877" s="5" t="str">
        <f t="array" ref="N877">XLOOKUP(M877,Skills[Action],Skills[Icon],"")</f>
        <v/>
      </c>
      <c r="P877" s="5" t="str">
        <f t="array" ref="P877">XLOOKUP(O877,Skills[Action],Skills[Icon],"")</f>
        <v/>
      </c>
      <c r="R877" s="5" t="str">
        <f t="array" ref="R877">XLOOKUP(Q877,Skills[Action],Skills[Icon],"")</f>
        <v/>
      </c>
      <c r="T877" s="5" t="str">
        <f t="array" ref="T877">XLOOKUP(S877,Skills[Action],Skills[Icon],"")</f>
        <v/>
      </c>
      <c r="V877" s="5" t="str">
        <f t="array" ref="V877">XLOOKUP(U877,Skills[Action],Skills[Icon],"")</f>
        <v/>
      </c>
    </row>
    <row r="878">
      <c r="C878" s="7">
        <v>0.010138888888888888</v>
      </c>
      <c r="L878" s="5" t="str">
        <f t="array" ref="L878">XLOOKUP(K878,Skills[Action],Skills[Icon],"")</f>
        <v/>
      </c>
      <c r="N878" s="5" t="str">
        <f t="array" ref="N878">XLOOKUP(M878,Skills[Action],Skills[Icon],"")</f>
        <v/>
      </c>
      <c r="P878" s="5" t="str">
        <f t="array" ref="P878">XLOOKUP(O878,Skills[Action],Skills[Icon],"")</f>
        <v/>
      </c>
      <c r="R878" s="5" t="str">
        <f t="array" ref="R878">XLOOKUP(Q878,Skills[Action],Skills[Icon],"")</f>
        <v/>
      </c>
      <c r="T878" s="5" t="str">
        <f t="array" ref="T878">XLOOKUP(S878,Skills[Action],Skills[Icon],"")</f>
        <v/>
      </c>
      <c r="V878" s="5" t="str">
        <f t="array" ref="V878">XLOOKUP(U878,Skills[Action],Skills[Icon],"")</f>
        <v/>
      </c>
    </row>
    <row r="879">
      <c r="C879" s="7">
        <v>0.010150462962962964</v>
      </c>
      <c r="L879" s="5" t="str">
        <f t="array" ref="L879">XLOOKUP(K879,Skills[Action],Skills[Icon],"")</f>
        <v/>
      </c>
      <c r="N879" s="5" t="str">
        <f t="array" ref="N879">XLOOKUP(M879,Skills[Action],Skills[Icon],"")</f>
        <v/>
      </c>
      <c r="P879" s="5" t="str">
        <f t="array" ref="P879">XLOOKUP(O879,Skills[Action],Skills[Icon],"")</f>
        <v/>
      </c>
      <c r="R879" s="5" t="str">
        <f t="array" ref="R879">XLOOKUP(Q879,Skills[Action],Skills[Icon],"")</f>
        <v/>
      </c>
      <c r="T879" s="5" t="str">
        <f t="array" ref="T879">XLOOKUP(S879,Skills[Action],Skills[Icon],"")</f>
        <v/>
      </c>
      <c r="V879" s="5" t="str">
        <f t="array" ref="V879">XLOOKUP(U879,Skills[Action],Skills[Icon],"")</f>
        <v/>
      </c>
    </row>
    <row r="880">
      <c r="C880" s="7">
        <v>0.010162037037037037</v>
      </c>
      <c r="L880" s="5" t="str">
        <f t="array" ref="L880">XLOOKUP(K880,Skills[Action],Skills[Icon],"")</f>
        <v/>
      </c>
      <c r="N880" s="5" t="str">
        <f t="array" ref="N880">XLOOKUP(M880,Skills[Action],Skills[Icon],"")</f>
        <v/>
      </c>
      <c r="P880" s="5" t="str">
        <f t="array" ref="P880">XLOOKUP(O880,Skills[Action],Skills[Icon],"")</f>
        <v/>
      </c>
      <c r="R880" s="5" t="str">
        <f t="array" ref="R880">XLOOKUP(Q880,Skills[Action],Skills[Icon],"")</f>
        <v/>
      </c>
      <c r="T880" s="5" t="str">
        <f t="array" ref="T880">XLOOKUP(S880,Skills[Action],Skills[Icon],"")</f>
        <v/>
      </c>
      <c r="V880" s="5" t="str">
        <f t="array" ref="V880">XLOOKUP(U880,Skills[Action],Skills[Icon],"")</f>
        <v/>
      </c>
    </row>
    <row r="881">
      <c r="C881" s="7">
        <v>0.01017361111111111</v>
      </c>
      <c r="L881" s="5" t="str">
        <f t="array" ref="L881">XLOOKUP(K881,Skills[Action],Skills[Icon],"")</f>
        <v/>
      </c>
      <c r="N881" s="5" t="str">
        <f t="array" ref="N881">XLOOKUP(M881,Skills[Action],Skills[Icon],"")</f>
        <v/>
      </c>
      <c r="P881" s="5" t="str">
        <f t="array" ref="P881">XLOOKUP(O881,Skills[Action],Skills[Icon],"")</f>
        <v/>
      </c>
      <c r="R881" s="5" t="str">
        <f t="array" ref="R881">XLOOKUP(Q881,Skills[Action],Skills[Icon],"")</f>
        <v/>
      </c>
      <c r="T881" s="5" t="str">
        <f t="array" ref="T881">XLOOKUP(S881,Skills[Action],Skills[Icon],"")</f>
        <v/>
      </c>
      <c r="V881" s="5" t="str">
        <f t="array" ref="V881">XLOOKUP(U881,Skills[Action],Skills[Icon],"")</f>
        <v/>
      </c>
    </row>
    <row r="882">
      <c r="C882" s="7">
        <v>0.010185185185185186</v>
      </c>
      <c r="L882" s="5" t="str">
        <f t="array" ref="L882">XLOOKUP(K882,Skills[Action],Skills[Icon],"")</f>
        <v/>
      </c>
      <c r="N882" s="5" t="str">
        <f t="array" ref="N882">XLOOKUP(M882,Skills[Action],Skills[Icon],"")</f>
        <v/>
      </c>
      <c r="P882" s="5" t="str">
        <f t="array" ref="P882">XLOOKUP(O882,Skills[Action],Skills[Icon],"")</f>
        <v/>
      </c>
      <c r="R882" s="5" t="str">
        <f t="array" ref="R882">XLOOKUP(Q882,Skills[Action],Skills[Icon],"")</f>
        <v/>
      </c>
      <c r="T882" s="5" t="str">
        <f t="array" ref="T882">XLOOKUP(S882,Skills[Action],Skills[Icon],"")</f>
        <v/>
      </c>
      <c r="V882" s="5" t="str">
        <f t="array" ref="V882">XLOOKUP(U882,Skills[Action],Skills[Icon],"")</f>
        <v/>
      </c>
    </row>
    <row r="883">
      <c r="C883" s="7">
        <v>0.01019675925925926</v>
      </c>
      <c r="L883" s="5" t="str">
        <f t="array" ref="L883">XLOOKUP(K883,Skills[Action],Skills[Icon],"")</f>
        <v/>
      </c>
      <c r="N883" s="5" t="str">
        <f t="array" ref="N883">XLOOKUP(M883,Skills[Action],Skills[Icon],"")</f>
        <v/>
      </c>
      <c r="P883" s="5" t="str">
        <f t="array" ref="P883">XLOOKUP(O883,Skills[Action],Skills[Icon],"")</f>
        <v/>
      </c>
      <c r="R883" s="5" t="str">
        <f t="array" ref="R883">XLOOKUP(Q883,Skills[Action],Skills[Icon],"")</f>
        <v/>
      </c>
      <c r="T883" s="5" t="str">
        <f t="array" ref="T883">XLOOKUP(S883,Skills[Action],Skills[Icon],"")</f>
        <v/>
      </c>
      <c r="V883" s="5" t="str">
        <f t="array" ref="V883">XLOOKUP(U883,Skills[Action],Skills[Icon],"")</f>
        <v/>
      </c>
    </row>
    <row r="884">
      <c r="C884" s="7">
        <v>0.010208333333333333</v>
      </c>
      <c r="L884" s="5" t="str">
        <f t="array" ref="L884">XLOOKUP(K884,Skills[Action],Skills[Icon],"")</f>
        <v/>
      </c>
      <c r="N884" s="5" t="str">
        <f t="array" ref="N884">XLOOKUP(M884,Skills[Action],Skills[Icon],"")</f>
        <v/>
      </c>
      <c r="P884" s="5" t="str">
        <f t="array" ref="P884">XLOOKUP(O884,Skills[Action],Skills[Icon],"")</f>
        <v/>
      </c>
      <c r="R884" s="5" t="str">
        <f t="array" ref="R884">XLOOKUP(Q884,Skills[Action],Skills[Icon],"")</f>
        <v/>
      </c>
      <c r="T884" s="5" t="str">
        <f t="array" ref="T884">XLOOKUP(S884,Skills[Action],Skills[Icon],"")</f>
        <v/>
      </c>
      <c r="V884" s="5" t="str">
        <f t="array" ref="V884">XLOOKUP(U884,Skills[Action],Skills[Icon],"")</f>
        <v/>
      </c>
    </row>
    <row r="885">
      <c r="C885" s="7">
        <v>0.010219907407407407</v>
      </c>
      <c r="L885" s="5" t="str">
        <f t="array" ref="L885">XLOOKUP(K885,Skills[Action],Skills[Icon],"")</f>
        <v/>
      </c>
      <c r="N885" s="5" t="str">
        <f t="array" ref="N885">XLOOKUP(M885,Skills[Action],Skills[Icon],"")</f>
        <v/>
      </c>
      <c r="P885" s="5" t="str">
        <f t="array" ref="P885">XLOOKUP(O885,Skills[Action],Skills[Icon],"")</f>
        <v/>
      </c>
      <c r="R885" s="5" t="str">
        <f t="array" ref="R885">XLOOKUP(Q885,Skills[Action],Skills[Icon],"")</f>
        <v/>
      </c>
      <c r="T885" s="5" t="str">
        <f t="array" ref="T885">XLOOKUP(S885,Skills[Action],Skills[Icon],"")</f>
        <v/>
      </c>
      <c r="V885" s="5" t="str">
        <f t="array" ref="V885">XLOOKUP(U885,Skills[Action],Skills[Icon],"")</f>
        <v/>
      </c>
    </row>
    <row r="886">
      <c r="C886" s="7">
        <v>0.010231481481481482</v>
      </c>
      <c r="L886" s="5" t="str">
        <f t="array" ref="L886">XLOOKUP(K886,Skills[Action],Skills[Icon],"")</f>
        <v/>
      </c>
      <c r="N886" s="5" t="str">
        <f t="array" ref="N886">XLOOKUP(M886,Skills[Action],Skills[Icon],"")</f>
        <v/>
      </c>
      <c r="P886" s="5" t="str">
        <f t="array" ref="P886">XLOOKUP(O886,Skills[Action],Skills[Icon],"")</f>
        <v/>
      </c>
      <c r="R886" s="5" t="str">
        <f t="array" ref="R886">XLOOKUP(Q886,Skills[Action],Skills[Icon],"")</f>
        <v/>
      </c>
      <c r="T886" s="5" t="str">
        <f t="array" ref="T886">XLOOKUP(S886,Skills[Action],Skills[Icon],"")</f>
        <v/>
      </c>
      <c r="V886" s="5" t="str">
        <f t="array" ref="V886">XLOOKUP(U886,Skills[Action],Skills[Icon],"")</f>
        <v/>
      </c>
    </row>
    <row r="887">
      <c r="C887" s="7">
        <v>0.010243055555555556</v>
      </c>
      <c r="L887" s="5" t="str">
        <f t="array" ref="L887">XLOOKUP(K887,Skills[Action],Skills[Icon],"")</f>
        <v/>
      </c>
      <c r="N887" s="5" t="str">
        <f t="array" ref="N887">XLOOKUP(M887,Skills[Action],Skills[Icon],"")</f>
        <v/>
      </c>
      <c r="P887" s="5" t="str">
        <f t="array" ref="P887">XLOOKUP(O887,Skills[Action],Skills[Icon],"")</f>
        <v/>
      </c>
      <c r="R887" s="5" t="str">
        <f t="array" ref="R887">XLOOKUP(Q887,Skills[Action],Skills[Icon],"")</f>
        <v/>
      </c>
      <c r="T887" s="5" t="str">
        <f t="array" ref="T887">XLOOKUP(S887,Skills[Action],Skills[Icon],"")</f>
        <v/>
      </c>
      <c r="V887" s="5" t="str">
        <f t="array" ref="V887">XLOOKUP(U887,Skills[Action],Skills[Icon],"")</f>
        <v/>
      </c>
    </row>
    <row r="888">
      <c r="C888" s="7">
        <v>0.01025462962962963</v>
      </c>
      <c r="L888" s="5" t="str">
        <f t="array" ref="L888">XLOOKUP(K888,Skills[Action],Skills[Icon],"")</f>
        <v/>
      </c>
      <c r="N888" s="5" t="str">
        <f t="array" ref="N888">XLOOKUP(M888,Skills[Action],Skills[Icon],"")</f>
        <v/>
      </c>
      <c r="P888" s="5" t="str">
        <f t="array" ref="P888">XLOOKUP(O888,Skills[Action],Skills[Icon],"")</f>
        <v/>
      </c>
      <c r="R888" s="5" t="str">
        <f t="array" ref="R888">XLOOKUP(Q888,Skills[Action],Skills[Icon],"")</f>
        <v/>
      </c>
      <c r="T888" s="5" t="str">
        <f t="array" ref="T888">XLOOKUP(S888,Skills[Action],Skills[Icon],"")</f>
        <v/>
      </c>
      <c r="V888" s="5" t="str">
        <f t="array" ref="V888">XLOOKUP(U888,Skills[Action],Skills[Icon],"")</f>
        <v/>
      </c>
    </row>
    <row r="889">
      <c r="C889" s="7">
        <v>0.010266203703703704</v>
      </c>
      <c r="L889" s="5" t="str">
        <f t="array" ref="L889">XLOOKUP(K889,Skills[Action],Skills[Icon],"")</f>
        <v/>
      </c>
      <c r="N889" s="5" t="str">
        <f t="array" ref="N889">XLOOKUP(M889,Skills[Action],Skills[Icon],"")</f>
        <v/>
      </c>
      <c r="P889" s="5" t="str">
        <f t="array" ref="P889">XLOOKUP(O889,Skills[Action],Skills[Icon],"")</f>
        <v/>
      </c>
      <c r="R889" s="5" t="str">
        <f t="array" ref="R889">XLOOKUP(Q889,Skills[Action],Skills[Icon],"")</f>
        <v/>
      </c>
      <c r="T889" s="5" t="str">
        <f t="array" ref="T889">XLOOKUP(S889,Skills[Action],Skills[Icon],"")</f>
        <v/>
      </c>
      <c r="V889" s="5" t="str">
        <f t="array" ref="V889">XLOOKUP(U889,Skills[Action],Skills[Icon],"")</f>
        <v/>
      </c>
    </row>
    <row r="890">
      <c r="C890" s="7">
        <v>0.010277777777777778</v>
      </c>
      <c r="L890" s="5" t="str">
        <f t="array" ref="L890">XLOOKUP(K890,Skills[Action],Skills[Icon],"")</f>
        <v/>
      </c>
      <c r="N890" s="5" t="str">
        <f t="array" ref="N890">XLOOKUP(M890,Skills[Action],Skills[Icon],"")</f>
        <v/>
      </c>
      <c r="P890" s="5" t="str">
        <f t="array" ref="P890">XLOOKUP(O890,Skills[Action],Skills[Icon],"")</f>
        <v/>
      </c>
      <c r="R890" s="5" t="str">
        <f t="array" ref="R890">XLOOKUP(Q890,Skills[Action],Skills[Icon],"")</f>
        <v/>
      </c>
      <c r="T890" s="5" t="str">
        <f t="array" ref="T890">XLOOKUP(S890,Skills[Action],Skills[Icon],"")</f>
        <v/>
      </c>
      <c r="V890" s="5" t="str">
        <f t="array" ref="V890">XLOOKUP(U890,Skills[Action],Skills[Icon],"")</f>
        <v/>
      </c>
    </row>
    <row r="891">
      <c r="C891" s="7">
        <v>0.010289351851851852</v>
      </c>
      <c r="L891" s="5" t="str">
        <f t="array" ref="L891">XLOOKUP(K891,Skills[Action],Skills[Icon],"")</f>
        <v/>
      </c>
      <c r="N891" s="5" t="str">
        <f t="array" ref="N891">XLOOKUP(M891,Skills[Action],Skills[Icon],"")</f>
        <v/>
      </c>
      <c r="P891" s="5" t="str">
        <f t="array" ref="P891">XLOOKUP(O891,Skills[Action],Skills[Icon],"")</f>
        <v/>
      </c>
      <c r="R891" s="5" t="str">
        <f t="array" ref="R891">XLOOKUP(Q891,Skills[Action],Skills[Icon],"")</f>
        <v/>
      </c>
      <c r="T891" s="5" t="str">
        <f t="array" ref="T891">XLOOKUP(S891,Skills[Action],Skills[Icon],"")</f>
        <v/>
      </c>
      <c r="V891" s="5" t="str">
        <f t="array" ref="V891">XLOOKUP(U891,Skills[Action],Skills[Icon],"")</f>
        <v/>
      </c>
    </row>
    <row r="892">
      <c r="C892" s="7">
        <v>0.010300925925925925</v>
      </c>
      <c r="L892" s="5" t="str">
        <f t="array" ref="L892">XLOOKUP(K892,Skills[Action],Skills[Icon],"")</f>
        <v/>
      </c>
      <c r="N892" s="5" t="str">
        <f t="array" ref="N892">XLOOKUP(M892,Skills[Action],Skills[Icon],"")</f>
        <v/>
      </c>
      <c r="P892" s="5" t="str">
        <f t="array" ref="P892">XLOOKUP(O892,Skills[Action],Skills[Icon],"")</f>
        <v/>
      </c>
      <c r="R892" s="5" t="str">
        <f t="array" ref="R892">XLOOKUP(Q892,Skills[Action],Skills[Icon],"")</f>
        <v/>
      </c>
      <c r="T892" s="5" t="str">
        <f t="array" ref="T892">XLOOKUP(S892,Skills[Action],Skills[Icon],"")</f>
        <v/>
      </c>
      <c r="V892" s="5" t="str">
        <f t="array" ref="V892">XLOOKUP(U892,Skills[Action],Skills[Icon],"")</f>
        <v/>
      </c>
    </row>
    <row r="893">
      <c r="C893" s="7">
        <v>0.0103125</v>
      </c>
      <c r="L893" s="5" t="str">
        <f t="array" ref="L893">XLOOKUP(K893,Skills[Action],Skills[Icon],"")</f>
        <v/>
      </c>
      <c r="N893" s="5" t="str">
        <f t="array" ref="N893">XLOOKUP(M893,Skills[Action],Skills[Icon],"")</f>
        <v/>
      </c>
      <c r="P893" s="5" t="str">
        <f t="array" ref="P893">XLOOKUP(O893,Skills[Action],Skills[Icon],"")</f>
        <v/>
      </c>
      <c r="R893" s="5" t="str">
        <f t="array" ref="R893">XLOOKUP(Q893,Skills[Action],Skills[Icon],"")</f>
        <v/>
      </c>
      <c r="T893" s="5" t="str">
        <f t="array" ref="T893">XLOOKUP(S893,Skills[Action],Skills[Icon],"")</f>
        <v/>
      </c>
      <c r="V893" s="5" t="str">
        <f t="array" ref="V893">XLOOKUP(U893,Skills[Action],Skills[Icon],"")</f>
        <v/>
      </c>
    </row>
    <row r="894">
      <c r="C894" s="7">
        <v>0.010324074074074074</v>
      </c>
      <c r="L894" s="5" t="str">
        <f t="array" ref="L894">XLOOKUP(K894,Skills[Action],Skills[Icon],"")</f>
        <v/>
      </c>
      <c r="N894" s="5" t="str">
        <f t="array" ref="N894">XLOOKUP(M894,Skills[Action],Skills[Icon],"")</f>
        <v/>
      </c>
      <c r="P894" s="5" t="str">
        <f t="array" ref="P894">XLOOKUP(O894,Skills[Action],Skills[Icon],"")</f>
        <v/>
      </c>
      <c r="R894" s="5" t="str">
        <f t="array" ref="R894">XLOOKUP(Q894,Skills[Action],Skills[Icon],"")</f>
        <v/>
      </c>
      <c r="T894" s="5" t="str">
        <f t="array" ref="T894">XLOOKUP(S894,Skills[Action],Skills[Icon],"")</f>
        <v/>
      </c>
      <c r="V894" s="5" t="str">
        <f t="array" ref="V894">XLOOKUP(U894,Skills[Action],Skills[Icon],"")</f>
        <v/>
      </c>
    </row>
    <row r="895">
      <c r="C895" s="7">
        <v>0.010335648148148148</v>
      </c>
      <c r="L895" s="5" t="str">
        <f t="array" ref="L895">XLOOKUP(K895,Skills[Action],Skills[Icon],"")</f>
        <v/>
      </c>
      <c r="N895" s="5" t="str">
        <f t="array" ref="N895">XLOOKUP(M895,Skills[Action],Skills[Icon],"")</f>
        <v/>
      </c>
      <c r="P895" s="5" t="str">
        <f t="array" ref="P895">XLOOKUP(O895,Skills[Action],Skills[Icon],"")</f>
        <v/>
      </c>
      <c r="R895" s="5" t="str">
        <f t="array" ref="R895">XLOOKUP(Q895,Skills[Action],Skills[Icon],"")</f>
        <v/>
      </c>
      <c r="T895" s="5" t="str">
        <f t="array" ref="T895">XLOOKUP(S895,Skills[Action],Skills[Icon],"")</f>
        <v/>
      </c>
      <c r="V895" s="5" t="str">
        <f t="array" ref="V895">XLOOKUP(U895,Skills[Action],Skills[Icon],"")</f>
        <v/>
      </c>
    </row>
    <row r="896">
      <c r="C896" s="7">
        <v>0.010347222222222223</v>
      </c>
      <c r="L896" s="5" t="str">
        <f t="array" ref="L896">XLOOKUP(K896,Skills[Action],Skills[Icon],"")</f>
        <v/>
      </c>
      <c r="N896" s="5" t="str">
        <f t="array" ref="N896">XLOOKUP(M896,Skills[Action],Skills[Icon],"")</f>
        <v/>
      </c>
      <c r="P896" s="5" t="str">
        <f t="array" ref="P896">XLOOKUP(O896,Skills[Action],Skills[Icon],"")</f>
        <v/>
      </c>
      <c r="R896" s="5" t="str">
        <f t="array" ref="R896">XLOOKUP(Q896,Skills[Action],Skills[Icon],"")</f>
        <v/>
      </c>
      <c r="T896" s="5" t="str">
        <f t="array" ref="T896">XLOOKUP(S896,Skills[Action],Skills[Icon],"")</f>
        <v/>
      </c>
      <c r="V896" s="5" t="str">
        <f t="array" ref="V896">XLOOKUP(U896,Skills[Action],Skills[Icon],"")</f>
        <v/>
      </c>
    </row>
    <row r="897">
      <c r="C897" s="7">
        <v>0.010358796296296297</v>
      </c>
      <c r="L897" s="5" t="str">
        <f t="array" ref="L897">XLOOKUP(K897,Skills[Action],Skills[Icon],"")</f>
        <v/>
      </c>
      <c r="N897" s="5" t="str">
        <f t="array" ref="N897">XLOOKUP(M897,Skills[Action],Skills[Icon],"")</f>
        <v/>
      </c>
      <c r="P897" s="5" t="str">
        <f t="array" ref="P897">XLOOKUP(O897,Skills[Action],Skills[Icon],"")</f>
        <v/>
      </c>
      <c r="R897" s="5" t="str">
        <f t="array" ref="R897">XLOOKUP(Q897,Skills[Action],Skills[Icon],"")</f>
        <v/>
      </c>
      <c r="T897" s="5" t="str">
        <f t="array" ref="T897">XLOOKUP(S897,Skills[Action],Skills[Icon],"")</f>
        <v/>
      </c>
      <c r="V897" s="5" t="str">
        <f t="array" ref="V897">XLOOKUP(U897,Skills[Action],Skills[Icon],"")</f>
        <v/>
      </c>
    </row>
    <row r="898">
      <c r="C898" s="7">
        <v>0.01037037037037037</v>
      </c>
      <c r="L898" s="5" t="str">
        <f t="array" ref="L898">XLOOKUP(K898,Skills[Action],Skills[Icon],"")</f>
        <v/>
      </c>
      <c r="N898" s="5" t="str">
        <f t="array" ref="N898">XLOOKUP(M898,Skills[Action],Skills[Icon],"")</f>
        <v/>
      </c>
      <c r="P898" s="5" t="str">
        <f t="array" ref="P898">XLOOKUP(O898,Skills[Action],Skills[Icon],"")</f>
        <v/>
      </c>
      <c r="R898" s="5" t="str">
        <f t="array" ref="R898">XLOOKUP(Q898,Skills[Action],Skills[Icon],"")</f>
        <v/>
      </c>
      <c r="T898" s="5" t="str">
        <f t="array" ref="T898">XLOOKUP(S898,Skills[Action],Skills[Icon],"")</f>
        <v/>
      </c>
      <c r="V898" s="5" t="str">
        <f t="array" ref="V898">XLOOKUP(U898,Skills[Action],Skills[Icon],"")</f>
        <v/>
      </c>
    </row>
    <row r="899">
      <c r="C899" s="7">
        <v>0.010381944444444444</v>
      </c>
      <c r="L899" s="5" t="str">
        <f t="array" ref="L899">XLOOKUP(K899,Skills[Action],Skills[Icon],"")</f>
        <v/>
      </c>
      <c r="N899" s="5" t="str">
        <f t="array" ref="N899">XLOOKUP(M899,Skills[Action],Skills[Icon],"")</f>
        <v/>
      </c>
      <c r="P899" s="5" t="str">
        <f t="array" ref="P899">XLOOKUP(O899,Skills[Action],Skills[Icon],"")</f>
        <v/>
      </c>
      <c r="R899" s="5" t="str">
        <f t="array" ref="R899">XLOOKUP(Q899,Skills[Action],Skills[Icon],"")</f>
        <v/>
      </c>
      <c r="T899" s="5" t="str">
        <f t="array" ref="T899">XLOOKUP(S899,Skills[Action],Skills[Icon],"")</f>
        <v/>
      </c>
      <c r="V899" s="5" t="str">
        <f t="array" ref="V899">XLOOKUP(U899,Skills[Action],Skills[Icon],"")</f>
        <v/>
      </c>
    </row>
    <row r="900">
      <c r="C900" s="7">
        <v>0.010393518518518519</v>
      </c>
      <c r="L900" s="5" t="str">
        <f t="array" ref="L900">XLOOKUP(K900,Skills[Action],Skills[Icon],"")</f>
        <v/>
      </c>
      <c r="N900" s="5" t="str">
        <f t="array" ref="N900">XLOOKUP(M900,Skills[Action],Skills[Icon],"")</f>
        <v/>
      </c>
      <c r="P900" s="5" t="str">
        <f t="array" ref="P900">XLOOKUP(O900,Skills[Action],Skills[Icon],"")</f>
        <v/>
      </c>
      <c r="R900" s="5" t="str">
        <f t="array" ref="R900">XLOOKUP(Q900,Skills[Action],Skills[Icon],"")</f>
        <v/>
      </c>
      <c r="T900" s="5" t="str">
        <f t="array" ref="T900">XLOOKUP(S900,Skills[Action],Skills[Icon],"")</f>
        <v/>
      </c>
      <c r="V900" s="5" t="str">
        <f t="array" ref="V900">XLOOKUP(U900,Skills[Action],Skills[Icon],"")</f>
        <v/>
      </c>
    </row>
    <row r="901">
      <c r="C901" s="7">
        <v>0.010405092592592593</v>
      </c>
      <c r="L901" s="5" t="str">
        <f t="array" ref="L901">XLOOKUP(K901,Skills[Action],Skills[Icon],"")</f>
        <v/>
      </c>
      <c r="N901" s="5" t="str">
        <f t="array" ref="N901">XLOOKUP(M901,Skills[Action],Skills[Icon],"")</f>
        <v/>
      </c>
      <c r="P901" s="5" t="str">
        <f t="array" ref="P901">XLOOKUP(O901,Skills[Action],Skills[Icon],"")</f>
        <v/>
      </c>
      <c r="R901" s="5" t="str">
        <f t="array" ref="R901">XLOOKUP(Q901,Skills[Action],Skills[Icon],"")</f>
        <v/>
      </c>
      <c r="T901" s="5" t="str">
        <f t="array" ref="T901">XLOOKUP(S901,Skills[Action],Skills[Icon],"")</f>
        <v/>
      </c>
      <c r="V901" s="5" t="str">
        <f t="array" ref="V901">XLOOKUP(U901,Skills[Action],Skills[Icon],"")</f>
        <v/>
      </c>
    </row>
    <row r="902">
      <c r="C902" s="7">
        <v>0.010416666666666666</v>
      </c>
      <c r="L902" s="5" t="str">
        <f t="array" ref="L902">XLOOKUP(K902,Skills[Action],Skills[Icon],"")</f>
        <v/>
      </c>
      <c r="N902" s="5" t="str">
        <f t="array" ref="N902">XLOOKUP(M902,Skills[Action],Skills[Icon],"")</f>
        <v/>
      </c>
      <c r="P902" s="5" t="str">
        <f t="array" ref="P902">XLOOKUP(O902,Skills[Action],Skills[Icon],"")</f>
        <v/>
      </c>
      <c r="R902" s="5" t="str">
        <f t="array" ref="R902">XLOOKUP(Q902,Skills[Action],Skills[Icon],"")</f>
        <v/>
      </c>
      <c r="T902" s="5" t="str">
        <f t="array" ref="T902">XLOOKUP(S902,Skills[Action],Skills[Icon],"")</f>
        <v/>
      </c>
      <c r="V902" s="5" t="str">
        <f t="array" ref="V902">XLOOKUP(U902,Skills[Action],Skills[Icon],"")</f>
        <v/>
      </c>
    </row>
    <row r="903">
      <c r="C903" s="7">
        <v>0.010428240740740741</v>
      </c>
      <c r="L903" s="5" t="str">
        <f t="array" ref="L903">XLOOKUP(K903,Skills[Action],Skills[Icon],"")</f>
        <v/>
      </c>
      <c r="N903" s="5" t="str">
        <f t="array" ref="N903">XLOOKUP(M903,Skills[Action],Skills[Icon],"")</f>
        <v/>
      </c>
      <c r="P903" s="5" t="str">
        <f t="array" ref="P903">XLOOKUP(O903,Skills[Action],Skills[Icon],"")</f>
        <v/>
      </c>
      <c r="R903" s="5" t="str">
        <f t="array" ref="R903">XLOOKUP(Q903,Skills[Action],Skills[Icon],"")</f>
        <v/>
      </c>
      <c r="T903" s="5" t="str">
        <f t="array" ref="T903">XLOOKUP(S903,Skills[Action],Skills[Icon],"")</f>
        <v/>
      </c>
      <c r="V903" s="5" t="str">
        <f t="array" ref="V903">XLOOKUP(U903,Skills[Action],Skills[Icon],"")</f>
        <v/>
      </c>
    </row>
    <row r="904">
      <c r="C904" s="7">
        <v>0.010439814814814815</v>
      </c>
      <c r="L904" s="5" t="str">
        <f t="array" ref="L904">XLOOKUP(K904,Skills[Action],Skills[Icon],"")</f>
        <v/>
      </c>
      <c r="N904" s="5" t="str">
        <f t="array" ref="N904">XLOOKUP(M904,Skills[Action],Skills[Icon],"")</f>
        <v/>
      </c>
      <c r="P904" s="5" t="str">
        <f t="array" ref="P904">XLOOKUP(O904,Skills[Action],Skills[Icon],"")</f>
        <v/>
      </c>
      <c r="R904" s="5" t="str">
        <f t="array" ref="R904">XLOOKUP(Q904,Skills[Action],Skills[Icon],"")</f>
        <v/>
      </c>
      <c r="T904" s="5" t="str">
        <f t="array" ref="T904">XLOOKUP(S904,Skills[Action],Skills[Icon],"")</f>
        <v/>
      </c>
      <c r="V904" s="5" t="str">
        <f t="array" ref="V904">XLOOKUP(U904,Skills[Action],Skills[Icon],"")</f>
        <v/>
      </c>
    </row>
    <row r="905">
      <c r="C905" s="7">
        <v>0.010451388888888889</v>
      </c>
      <c r="L905" s="5" t="str">
        <f t="array" ref="L905">XLOOKUP(K905,Skills[Action],Skills[Icon],"")</f>
        <v/>
      </c>
      <c r="N905" s="5" t="str">
        <f t="array" ref="N905">XLOOKUP(M905,Skills[Action],Skills[Icon],"")</f>
        <v/>
      </c>
      <c r="P905" s="5" t="str">
        <f t="array" ref="P905">XLOOKUP(O905,Skills[Action],Skills[Icon],"")</f>
        <v/>
      </c>
      <c r="R905" s="5" t="str">
        <f t="array" ref="R905">XLOOKUP(Q905,Skills[Action],Skills[Icon],"")</f>
        <v/>
      </c>
      <c r="T905" s="5" t="str">
        <f t="array" ref="T905">XLOOKUP(S905,Skills[Action],Skills[Icon],"")</f>
        <v/>
      </c>
      <c r="V905" s="5" t="str">
        <f t="array" ref="V905">XLOOKUP(U905,Skills[Action],Skills[Icon],"")</f>
        <v/>
      </c>
    </row>
    <row r="906">
      <c r="C906" s="7">
        <v>0.010462962962962962</v>
      </c>
      <c r="L906" s="5" t="str">
        <f t="array" ref="L906">XLOOKUP(K906,Skills[Action],Skills[Icon],"")</f>
        <v/>
      </c>
      <c r="N906" s="5" t="str">
        <f t="array" ref="N906">XLOOKUP(M906,Skills[Action],Skills[Icon],"")</f>
        <v/>
      </c>
      <c r="P906" s="5" t="str">
        <f t="array" ref="P906">XLOOKUP(O906,Skills[Action],Skills[Icon],"")</f>
        <v/>
      </c>
      <c r="R906" s="5" t="str">
        <f t="array" ref="R906">XLOOKUP(Q906,Skills[Action],Skills[Icon],"")</f>
        <v/>
      </c>
      <c r="T906" s="5" t="str">
        <f t="array" ref="T906">XLOOKUP(S906,Skills[Action],Skills[Icon],"")</f>
        <v/>
      </c>
      <c r="V906" s="5" t="str">
        <f t="array" ref="V906">XLOOKUP(U906,Skills[Action],Skills[Icon],"")</f>
        <v/>
      </c>
    </row>
    <row r="907">
      <c r="C907" s="7">
        <v>0.010474537037037037</v>
      </c>
      <c r="L907" s="5" t="str">
        <f t="array" ref="L907">XLOOKUP(K907,Skills[Action],Skills[Icon],"")</f>
        <v/>
      </c>
      <c r="N907" s="5" t="str">
        <f t="array" ref="N907">XLOOKUP(M907,Skills[Action],Skills[Icon],"")</f>
        <v/>
      </c>
      <c r="P907" s="5" t="str">
        <f t="array" ref="P907">XLOOKUP(O907,Skills[Action],Skills[Icon],"")</f>
        <v/>
      </c>
      <c r="R907" s="5" t="str">
        <f t="array" ref="R907">XLOOKUP(Q907,Skills[Action],Skills[Icon],"")</f>
        <v/>
      </c>
      <c r="T907" s="5" t="str">
        <f t="array" ref="T907">XLOOKUP(S907,Skills[Action],Skills[Icon],"")</f>
        <v/>
      </c>
      <c r="V907" s="5" t="str">
        <f t="array" ref="V907">XLOOKUP(U907,Skills[Action],Skills[Icon],"")</f>
        <v/>
      </c>
    </row>
    <row r="908">
      <c r="C908" s="7">
        <v>0.010486111111111111</v>
      </c>
      <c r="L908" s="5" t="str">
        <f t="array" ref="L908">XLOOKUP(K908,Skills[Action],Skills[Icon],"")</f>
        <v/>
      </c>
      <c r="N908" s="5" t="str">
        <f t="array" ref="N908">XLOOKUP(M908,Skills[Action],Skills[Icon],"")</f>
        <v/>
      </c>
      <c r="P908" s="5" t="str">
        <f t="array" ref="P908">XLOOKUP(O908,Skills[Action],Skills[Icon],"")</f>
        <v/>
      </c>
      <c r="R908" s="5" t="str">
        <f t="array" ref="R908">XLOOKUP(Q908,Skills[Action],Skills[Icon],"")</f>
        <v/>
      </c>
      <c r="T908" s="5" t="str">
        <f t="array" ref="T908">XLOOKUP(S908,Skills[Action],Skills[Icon],"")</f>
        <v/>
      </c>
      <c r="V908" s="5" t="str">
        <f t="array" ref="V908">XLOOKUP(U908,Skills[Action],Skills[Icon],"")</f>
        <v/>
      </c>
    </row>
    <row r="909">
      <c r="C909" s="7">
        <v>0.010497685185185185</v>
      </c>
      <c r="L909" s="5" t="str">
        <f t="array" ref="L909">XLOOKUP(K909,Skills[Action],Skills[Icon],"")</f>
        <v/>
      </c>
      <c r="N909" s="5" t="str">
        <f t="array" ref="N909">XLOOKUP(M909,Skills[Action],Skills[Icon],"")</f>
        <v/>
      </c>
      <c r="P909" s="5" t="str">
        <f t="array" ref="P909">XLOOKUP(O909,Skills[Action],Skills[Icon],"")</f>
        <v/>
      </c>
      <c r="R909" s="5" t="str">
        <f t="array" ref="R909">XLOOKUP(Q909,Skills[Action],Skills[Icon],"")</f>
        <v/>
      </c>
      <c r="T909" s="5" t="str">
        <f t="array" ref="T909">XLOOKUP(S909,Skills[Action],Skills[Icon],"")</f>
        <v/>
      </c>
      <c r="V909" s="5" t="str">
        <f t="array" ref="V909">XLOOKUP(U909,Skills[Action],Skills[Icon],"")</f>
        <v/>
      </c>
    </row>
    <row r="910">
      <c r="C910" s="7">
        <v>0.01050925925925926</v>
      </c>
      <c r="L910" s="5" t="str">
        <f t="array" ref="L910">XLOOKUP(K910,Skills[Action],Skills[Icon],"")</f>
        <v/>
      </c>
      <c r="N910" s="5" t="str">
        <f t="array" ref="N910">XLOOKUP(M910,Skills[Action],Skills[Icon],"")</f>
        <v/>
      </c>
      <c r="P910" s="5" t="str">
        <f t="array" ref="P910">XLOOKUP(O910,Skills[Action],Skills[Icon],"")</f>
        <v/>
      </c>
      <c r="R910" s="5" t="str">
        <f t="array" ref="R910">XLOOKUP(Q910,Skills[Action],Skills[Icon],"")</f>
        <v/>
      </c>
      <c r="T910" s="5" t="str">
        <f t="array" ref="T910">XLOOKUP(S910,Skills[Action],Skills[Icon],"")</f>
        <v/>
      </c>
      <c r="V910" s="5" t="str">
        <f t="array" ref="V910">XLOOKUP(U910,Skills[Action],Skills[Icon],"")</f>
        <v/>
      </c>
    </row>
    <row r="911">
      <c r="C911" s="7">
        <v>0.010520833333333333</v>
      </c>
      <c r="L911" s="5" t="str">
        <f t="array" ref="L911">XLOOKUP(K911,Skills[Action],Skills[Icon],"")</f>
        <v/>
      </c>
      <c r="N911" s="5" t="str">
        <f t="array" ref="N911">XLOOKUP(M911,Skills[Action],Skills[Icon],"")</f>
        <v/>
      </c>
      <c r="P911" s="5" t="str">
        <f t="array" ref="P911">XLOOKUP(O911,Skills[Action],Skills[Icon],"")</f>
        <v/>
      </c>
      <c r="R911" s="5" t="str">
        <f t="array" ref="R911">XLOOKUP(Q911,Skills[Action],Skills[Icon],"")</f>
        <v/>
      </c>
      <c r="T911" s="5" t="str">
        <f t="array" ref="T911">XLOOKUP(S911,Skills[Action],Skills[Icon],"")</f>
        <v/>
      </c>
      <c r="V911" s="5" t="str">
        <f t="array" ref="V911">XLOOKUP(U911,Skills[Action],Skills[Icon],"")</f>
        <v/>
      </c>
    </row>
    <row r="912">
      <c r="C912" s="7">
        <v>0.010532407407407407</v>
      </c>
      <c r="L912" s="5" t="str">
        <f t="array" ref="L912">XLOOKUP(K912,Skills[Action],Skills[Icon],"")</f>
        <v/>
      </c>
      <c r="N912" s="5" t="str">
        <f t="array" ref="N912">XLOOKUP(M912,Skills[Action],Skills[Icon],"")</f>
        <v/>
      </c>
      <c r="P912" s="5" t="str">
        <f t="array" ref="P912">XLOOKUP(O912,Skills[Action],Skills[Icon],"")</f>
        <v/>
      </c>
      <c r="R912" s="5" t="str">
        <f t="array" ref="R912">XLOOKUP(Q912,Skills[Action],Skills[Icon],"")</f>
        <v/>
      </c>
      <c r="T912" s="5" t="str">
        <f t="array" ref="T912">XLOOKUP(S912,Skills[Action],Skills[Icon],"")</f>
        <v/>
      </c>
      <c r="V912" s="5" t="str">
        <f t="array" ref="V912">XLOOKUP(U912,Skills[Action],Skills[Icon],"")</f>
        <v/>
      </c>
    </row>
    <row r="913">
      <c r="C913" s="7">
        <v>0.010543981481481482</v>
      </c>
      <c r="L913" s="5" t="str">
        <f t="array" ref="L913">XLOOKUP(K913,Skills[Action],Skills[Icon],"")</f>
        <v/>
      </c>
      <c r="N913" s="5" t="str">
        <f t="array" ref="N913">XLOOKUP(M913,Skills[Action],Skills[Icon],"")</f>
        <v/>
      </c>
      <c r="P913" s="5" t="str">
        <f t="array" ref="P913">XLOOKUP(O913,Skills[Action],Skills[Icon],"")</f>
        <v/>
      </c>
      <c r="R913" s="5" t="str">
        <f t="array" ref="R913">XLOOKUP(Q913,Skills[Action],Skills[Icon],"")</f>
        <v/>
      </c>
      <c r="T913" s="5" t="str">
        <f t="array" ref="T913">XLOOKUP(S913,Skills[Action],Skills[Icon],"")</f>
        <v/>
      </c>
      <c r="V913" s="5" t="str">
        <f t="array" ref="V913">XLOOKUP(U913,Skills[Action],Skills[Icon],"")</f>
        <v/>
      </c>
    </row>
    <row r="914">
      <c r="C914" s="7">
        <v>0.010555555555555556</v>
      </c>
      <c r="L914" s="5" t="str">
        <f t="array" ref="L914">XLOOKUP(K914,Skills[Action],Skills[Icon],"")</f>
        <v/>
      </c>
      <c r="N914" s="5" t="str">
        <f t="array" ref="N914">XLOOKUP(M914,Skills[Action],Skills[Icon],"")</f>
        <v/>
      </c>
      <c r="P914" s="5" t="str">
        <f t="array" ref="P914">XLOOKUP(O914,Skills[Action],Skills[Icon],"")</f>
        <v/>
      </c>
      <c r="R914" s="5" t="str">
        <f t="array" ref="R914">XLOOKUP(Q914,Skills[Action],Skills[Icon],"")</f>
        <v/>
      </c>
      <c r="T914" s="5" t="str">
        <f t="array" ref="T914">XLOOKUP(S914,Skills[Action],Skills[Icon],"")</f>
        <v/>
      </c>
      <c r="V914" s="5" t="str">
        <f t="array" ref="V914">XLOOKUP(U914,Skills[Action],Skills[Icon],"")</f>
        <v/>
      </c>
    </row>
    <row r="915">
      <c r="C915" s="7">
        <v>0.01056712962962963</v>
      </c>
      <c r="L915" s="5" t="str">
        <f t="array" ref="L915">XLOOKUP(K915,Skills[Action],Skills[Icon],"")</f>
        <v/>
      </c>
      <c r="N915" s="5" t="str">
        <f t="array" ref="N915">XLOOKUP(M915,Skills[Action],Skills[Icon],"")</f>
        <v/>
      </c>
      <c r="P915" s="5" t="str">
        <f t="array" ref="P915">XLOOKUP(O915,Skills[Action],Skills[Icon],"")</f>
        <v/>
      </c>
      <c r="R915" s="5" t="str">
        <f t="array" ref="R915">XLOOKUP(Q915,Skills[Action],Skills[Icon],"")</f>
        <v/>
      </c>
      <c r="T915" s="5" t="str">
        <f t="array" ref="T915">XLOOKUP(S915,Skills[Action],Skills[Icon],"")</f>
        <v/>
      </c>
      <c r="V915" s="5" t="str">
        <f t="array" ref="V915">XLOOKUP(U915,Skills[Action],Skills[Icon],"")</f>
        <v/>
      </c>
    </row>
    <row r="916">
      <c r="C916" s="7">
        <v>0.010578703703703703</v>
      </c>
      <c r="L916" s="5" t="str">
        <f t="array" ref="L916">XLOOKUP(K916,Skills[Action],Skills[Icon],"")</f>
        <v/>
      </c>
      <c r="N916" s="5" t="str">
        <f t="array" ref="N916">XLOOKUP(M916,Skills[Action],Skills[Icon],"")</f>
        <v/>
      </c>
      <c r="P916" s="5" t="str">
        <f t="array" ref="P916">XLOOKUP(O916,Skills[Action],Skills[Icon],"")</f>
        <v/>
      </c>
      <c r="R916" s="5" t="str">
        <f t="array" ref="R916">XLOOKUP(Q916,Skills[Action],Skills[Icon],"")</f>
        <v/>
      </c>
      <c r="T916" s="5" t="str">
        <f t="array" ref="T916">XLOOKUP(S916,Skills[Action],Skills[Icon],"")</f>
        <v/>
      </c>
      <c r="V916" s="5" t="str">
        <f t="array" ref="V916">XLOOKUP(U916,Skills[Action],Skills[Icon],"")</f>
        <v/>
      </c>
    </row>
    <row r="917">
      <c r="C917" s="7">
        <v>0.010590277777777778</v>
      </c>
      <c r="L917" s="5" t="str">
        <f t="array" ref="L917">XLOOKUP(K917,Skills[Action],Skills[Icon],"")</f>
        <v/>
      </c>
      <c r="N917" s="5" t="str">
        <f t="array" ref="N917">XLOOKUP(M917,Skills[Action],Skills[Icon],"")</f>
        <v/>
      </c>
      <c r="P917" s="5" t="str">
        <f t="array" ref="P917">XLOOKUP(O917,Skills[Action],Skills[Icon],"")</f>
        <v/>
      </c>
      <c r="R917" s="5" t="str">
        <f t="array" ref="R917">XLOOKUP(Q917,Skills[Action],Skills[Icon],"")</f>
        <v/>
      </c>
      <c r="T917" s="5" t="str">
        <f t="array" ref="T917">XLOOKUP(S917,Skills[Action],Skills[Icon],"")</f>
        <v/>
      </c>
      <c r="V917" s="5" t="str">
        <f t="array" ref="V917">XLOOKUP(U917,Skills[Action],Skills[Icon],"")</f>
        <v/>
      </c>
    </row>
    <row r="918">
      <c r="C918" s="7">
        <v>0.010601851851851852</v>
      </c>
      <c r="L918" s="5" t="str">
        <f t="array" ref="L918">XLOOKUP(K918,Skills[Action],Skills[Icon],"")</f>
        <v/>
      </c>
      <c r="N918" s="5" t="str">
        <f t="array" ref="N918">XLOOKUP(M918,Skills[Action],Skills[Icon],"")</f>
        <v/>
      </c>
      <c r="P918" s="5" t="str">
        <f t="array" ref="P918">XLOOKUP(O918,Skills[Action],Skills[Icon],"")</f>
        <v/>
      </c>
      <c r="R918" s="5" t="str">
        <f t="array" ref="R918">XLOOKUP(Q918,Skills[Action],Skills[Icon],"")</f>
        <v/>
      </c>
      <c r="T918" s="5" t="str">
        <f t="array" ref="T918">XLOOKUP(S918,Skills[Action],Skills[Icon],"")</f>
        <v/>
      </c>
      <c r="V918" s="5" t="str">
        <f t="array" ref="V918">XLOOKUP(U918,Skills[Action],Skills[Icon],"")</f>
        <v/>
      </c>
    </row>
    <row r="919">
      <c r="C919" s="7">
        <v>0.010613425925925925</v>
      </c>
      <c r="L919" s="5" t="str">
        <f t="array" ref="L919">XLOOKUP(K919,Skills[Action],Skills[Icon],"")</f>
        <v/>
      </c>
      <c r="N919" s="5" t="str">
        <f t="array" ref="N919">XLOOKUP(M919,Skills[Action],Skills[Icon],"")</f>
        <v/>
      </c>
      <c r="P919" s="5" t="str">
        <f t="array" ref="P919">XLOOKUP(O919,Skills[Action],Skills[Icon],"")</f>
        <v/>
      </c>
      <c r="R919" s="5" t="str">
        <f t="array" ref="R919">XLOOKUP(Q919,Skills[Action],Skills[Icon],"")</f>
        <v/>
      </c>
      <c r="T919" s="5" t="str">
        <f t="array" ref="T919">XLOOKUP(S919,Skills[Action],Skills[Icon],"")</f>
        <v/>
      </c>
      <c r="V919" s="5" t="str">
        <f t="array" ref="V919">XLOOKUP(U919,Skills[Action],Skills[Icon],"")</f>
        <v/>
      </c>
    </row>
    <row r="920">
      <c r="C920" s="7">
        <v>0.010625</v>
      </c>
      <c r="L920" s="5" t="str">
        <f t="array" ref="L920">XLOOKUP(K920,Skills[Action],Skills[Icon],"")</f>
        <v/>
      </c>
      <c r="N920" s="5" t="str">
        <f t="array" ref="N920">XLOOKUP(M920,Skills[Action],Skills[Icon],"")</f>
        <v/>
      </c>
      <c r="P920" s="5" t="str">
        <f t="array" ref="P920">XLOOKUP(O920,Skills[Action],Skills[Icon],"")</f>
        <v/>
      </c>
      <c r="R920" s="5" t="str">
        <f t="array" ref="R920">XLOOKUP(Q920,Skills[Action],Skills[Icon],"")</f>
        <v/>
      </c>
      <c r="T920" s="5" t="str">
        <f t="array" ref="T920">XLOOKUP(S920,Skills[Action],Skills[Icon],"")</f>
        <v/>
      </c>
      <c r="V920" s="5" t="str">
        <f t="array" ref="V920">XLOOKUP(U920,Skills[Action],Skills[Icon],"")</f>
        <v/>
      </c>
    </row>
    <row r="921">
      <c r="C921" s="7">
        <v>0.010636574074074074</v>
      </c>
      <c r="L921" s="5" t="str">
        <f t="array" ref="L921">XLOOKUP(K921,Skills[Action],Skills[Icon],"")</f>
        <v/>
      </c>
      <c r="N921" s="5" t="str">
        <f t="array" ref="N921">XLOOKUP(M921,Skills[Action],Skills[Icon],"")</f>
        <v/>
      </c>
      <c r="P921" s="5" t="str">
        <f t="array" ref="P921">XLOOKUP(O921,Skills[Action],Skills[Icon],"")</f>
        <v/>
      </c>
      <c r="R921" s="5" t="str">
        <f t="array" ref="R921">XLOOKUP(Q921,Skills[Action],Skills[Icon],"")</f>
        <v/>
      </c>
      <c r="T921" s="5" t="str">
        <f t="array" ref="T921">XLOOKUP(S921,Skills[Action],Skills[Icon],"")</f>
        <v/>
      </c>
      <c r="V921" s="5" t="str">
        <f t="array" ref="V921">XLOOKUP(U921,Skills[Action],Skills[Icon],"")</f>
        <v/>
      </c>
    </row>
    <row r="922">
      <c r="C922" s="7">
        <v>0.010648148148148148</v>
      </c>
      <c r="L922" s="5" t="str">
        <f t="array" ref="L922">XLOOKUP(K922,Skills[Action],Skills[Icon],"")</f>
        <v/>
      </c>
      <c r="N922" s="5" t="str">
        <f t="array" ref="N922">XLOOKUP(M922,Skills[Action],Skills[Icon],"")</f>
        <v/>
      </c>
      <c r="P922" s="5" t="str">
        <f t="array" ref="P922">XLOOKUP(O922,Skills[Action],Skills[Icon],"")</f>
        <v/>
      </c>
      <c r="R922" s="5" t="str">
        <f t="array" ref="R922">XLOOKUP(Q922,Skills[Action],Skills[Icon],"")</f>
        <v/>
      </c>
      <c r="T922" s="5" t="str">
        <f t="array" ref="T922">XLOOKUP(S922,Skills[Action],Skills[Icon],"")</f>
        <v/>
      </c>
      <c r="V922" s="5" t="str">
        <f t="array" ref="V922">XLOOKUP(U922,Skills[Action],Skills[Icon],"")</f>
        <v/>
      </c>
    </row>
    <row r="923">
      <c r="C923" s="7">
        <v>0.010659722222222221</v>
      </c>
      <c r="L923" s="5" t="str">
        <f t="array" ref="L923">XLOOKUP(K923,Skills[Action],Skills[Icon],"")</f>
        <v/>
      </c>
      <c r="N923" s="5" t="str">
        <f t="array" ref="N923">XLOOKUP(M923,Skills[Action],Skills[Icon],"")</f>
        <v/>
      </c>
      <c r="P923" s="5" t="str">
        <f t="array" ref="P923">XLOOKUP(O923,Skills[Action],Skills[Icon],"")</f>
        <v/>
      </c>
      <c r="R923" s="5" t="str">
        <f t="array" ref="R923">XLOOKUP(Q923,Skills[Action],Skills[Icon],"")</f>
        <v/>
      </c>
      <c r="T923" s="5" t="str">
        <f t="array" ref="T923">XLOOKUP(S923,Skills[Action],Skills[Icon],"")</f>
        <v/>
      </c>
      <c r="V923" s="5" t="str">
        <f t="array" ref="V923">XLOOKUP(U923,Skills[Action],Skills[Icon],"")</f>
        <v/>
      </c>
    </row>
    <row r="924">
      <c r="C924" s="7">
        <v>0.010671296296296297</v>
      </c>
      <c r="L924" s="5" t="str">
        <f t="array" ref="L924">XLOOKUP(K924,Skills[Action],Skills[Icon],"")</f>
        <v/>
      </c>
      <c r="N924" s="5" t="str">
        <f t="array" ref="N924">XLOOKUP(M924,Skills[Action],Skills[Icon],"")</f>
        <v/>
      </c>
      <c r="P924" s="5" t="str">
        <f t="array" ref="P924">XLOOKUP(O924,Skills[Action],Skills[Icon],"")</f>
        <v/>
      </c>
      <c r="R924" s="5" t="str">
        <f t="array" ref="R924">XLOOKUP(Q924,Skills[Action],Skills[Icon],"")</f>
        <v/>
      </c>
      <c r="T924" s="5" t="str">
        <f t="array" ref="T924">XLOOKUP(S924,Skills[Action],Skills[Icon],"")</f>
        <v/>
      </c>
      <c r="V924" s="5" t="str">
        <f t="array" ref="V924">XLOOKUP(U924,Skills[Action],Skills[Icon],"")</f>
        <v/>
      </c>
    </row>
    <row r="925">
      <c r="C925" s="7">
        <v>0.01068287037037037</v>
      </c>
      <c r="L925" s="5" t="str">
        <f t="array" ref="L925">XLOOKUP(K925,Skills[Action],Skills[Icon],"")</f>
        <v/>
      </c>
      <c r="N925" s="5" t="str">
        <f t="array" ref="N925">XLOOKUP(M925,Skills[Action],Skills[Icon],"")</f>
        <v/>
      </c>
      <c r="P925" s="5" t="str">
        <f t="array" ref="P925">XLOOKUP(O925,Skills[Action],Skills[Icon],"")</f>
        <v/>
      </c>
      <c r="R925" s="5" t="str">
        <f t="array" ref="R925">XLOOKUP(Q925,Skills[Action],Skills[Icon],"")</f>
        <v/>
      </c>
      <c r="T925" s="5" t="str">
        <f t="array" ref="T925">XLOOKUP(S925,Skills[Action],Skills[Icon],"")</f>
        <v/>
      </c>
      <c r="V925" s="5" t="str">
        <f t="array" ref="V925">XLOOKUP(U925,Skills[Action],Skills[Icon],"")</f>
        <v/>
      </c>
    </row>
    <row r="926">
      <c r="C926" s="7">
        <v>0.010694444444444444</v>
      </c>
      <c r="L926" s="5" t="str">
        <f t="array" ref="L926">XLOOKUP(K926,Skills[Action],Skills[Icon],"")</f>
        <v/>
      </c>
      <c r="N926" s="5" t="str">
        <f t="array" ref="N926">XLOOKUP(M926,Skills[Action],Skills[Icon],"")</f>
        <v/>
      </c>
      <c r="P926" s="5" t="str">
        <f t="array" ref="P926">XLOOKUP(O926,Skills[Action],Skills[Icon],"")</f>
        <v/>
      </c>
      <c r="R926" s="5" t="str">
        <f t="array" ref="R926">XLOOKUP(Q926,Skills[Action],Skills[Icon],"")</f>
        <v/>
      </c>
      <c r="T926" s="5" t="str">
        <f t="array" ref="T926">XLOOKUP(S926,Skills[Action],Skills[Icon],"")</f>
        <v/>
      </c>
      <c r="V926" s="5" t="str">
        <f t="array" ref="V926">XLOOKUP(U926,Skills[Action],Skills[Icon],"")</f>
        <v/>
      </c>
    </row>
    <row r="927">
      <c r="C927" s="7">
        <v>0.01070601851851852</v>
      </c>
      <c r="L927" s="5" t="str">
        <f t="array" ref="L927">XLOOKUP(K927,Skills[Action],Skills[Icon],"")</f>
        <v/>
      </c>
      <c r="N927" s="5" t="str">
        <f t="array" ref="N927">XLOOKUP(M927,Skills[Action],Skills[Icon],"")</f>
        <v/>
      </c>
      <c r="P927" s="5" t="str">
        <f t="array" ref="P927">XLOOKUP(O927,Skills[Action],Skills[Icon],"")</f>
        <v/>
      </c>
      <c r="R927" s="5" t="str">
        <f t="array" ref="R927">XLOOKUP(Q927,Skills[Action],Skills[Icon],"")</f>
        <v/>
      </c>
      <c r="T927" s="5" t="str">
        <f t="array" ref="T927">XLOOKUP(S927,Skills[Action],Skills[Icon],"")</f>
        <v/>
      </c>
      <c r="V927" s="5" t="str">
        <f t="array" ref="V927">XLOOKUP(U927,Skills[Action],Skills[Icon],"")</f>
        <v/>
      </c>
    </row>
    <row r="928">
      <c r="C928" s="7">
        <v>0.010717592592592593</v>
      </c>
      <c r="L928" s="5" t="str">
        <f t="array" ref="L928">XLOOKUP(K928,Skills[Action],Skills[Icon],"")</f>
        <v/>
      </c>
      <c r="N928" s="5" t="str">
        <f t="array" ref="N928">XLOOKUP(M928,Skills[Action],Skills[Icon],"")</f>
        <v/>
      </c>
      <c r="P928" s="5" t="str">
        <f t="array" ref="P928">XLOOKUP(O928,Skills[Action],Skills[Icon],"")</f>
        <v/>
      </c>
      <c r="R928" s="5" t="str">
        <f t="array" ref="R928">XLOOKUP(Q928,Skills[Action],Skills[Icon],"")</f>
        <v/>
      </c>
      <c r="T928" s="5" t="str">
        <f t="array" ref="T928">XLOOKUP(S928,Skills[Action],Skills[Icon],"")</f>
        <v/>
      </c>
      <c r="V928" s="5" t="str">
        <f t="array" ref="V928">XLOOKUP(U928,Skills[Action],Skills[Icon],"")</f>
        <v/>
      </c>
    </row>
    <row r="929">
      <c r="C929" s="7">
        <v>0.010729166666666666</v>
      </c>
      <c r="L929" s="5" t="str">
        <f t="array" ref="L929">XLOOKUP(K929,Skills[Action],Skills[Icon],"")</f>
        <v/>
      </c>
      <c r="N929" s="5" t="str">
        <f t="array" ref="N929">XLOOKUP(M929,Skills[Action],Skills[Icon],"")</f>
        <v/>
      </c>
      <c r="P929" s="5" t="str">
        <f t="array" ref="P929">XLOOKUP(O929,Skills[Action],Skills[Icon],"")</f>
        <v/>
      </c>
      <c r="R929" s="5" t="str">
        <f t="array" ref="R929">XLOOKUP(Q929,Skills[Action],Skills[Icon],"")</f>
        <v/>
      </c>
      <c r="T929" s="5" t="str">
        <f t="array" ref="T929">XLOOKUP(S929,Skills[Action],Skills[Icon],"")</f>
        <v/>
      </c>
      <c r="V929" s="5" t="str">
        <f t="array" ref="V929">XLOOKUP(U929,Skills[Action],Skills[Icon],"")</f>
        <v/>
      </c>
    </row>
    <row r="930">
      <c r="C930" s="7">
        <v>0.01074074074074074</v>
      </c>
      <c r="L930" s="5" t="str">
        <f t="array" ref="L930">XLOOKUP(K930,Skills[Action],Skills[Icon],"")</f>
        <v/>
      </c>
      <c r="N930" s="5" t="str">
        <f t="array" ref="N930">XLOOKUP(M930,Skills[Action],Skills[Icon],"")</f>
        <v/>
      </c>
      <c r="P930" s="5" t="str">
        <f t="array" ref="P930">XLOOKUP(O930,Skills[Action],Skills[Icon],"")</f>
        <v/>
      </c>
      <c r="R930" s="5" t="str">
        <f t="array" ref="R930">XLOOKUP(Q930,Skills[Action],Skills[Icon],"")</f>
        <v/>
      </c>
      <c r="T930" s="5" t="str">
        <f t="array" ref="T930">XLOOKUP(S930,Skills[Action],Skills[Icon],"")</f>
        <v/>
      </c>
      <c r="V930" s="5" t="str">
        <f t="array" ref="V930">XLOOKUP(U930,Skills[Action],Skills[Icon],"")</f>
        <v/>
      </c>
    </row>
    <row r="931">
      <c r="C931" s="7">
        <v>0.010752314814814815</v>
      </c>
      <c r="L931" s="5" t="str">
        <f t="array" ref="L931">XLOOKUP(K931,Skills[Action],Skills[Icon],"")</f>
        <v/>
      </c>
      <c r="N931" s="5" t="str">
        <f t="array" ref="N931">XLOOKUP(M931,Skills[Action],Skills[Icon],"")</f>
        <v/>
      </c>
      <c r="P931" s="5" t="str">
        <f t="array" ref="P931">XLOOKUP(O931,Skills[Action],Skills[Icon],"")</f>
        <v/>
      </c>
      <c r="R931" s="5" t="str">
        <f t="array" ref="R931">XLOOKUP(Q931,Skills[Action],Skills[Icon],"")</f>
        <v/>
      </c>
      <c r="T931" s="5" t="str">
        <f t="array" ref="T931">XLOOKUP(S931,Skills[Action],Skills[Icon],"")</f>
        <v/>
      </c>
      <c r="V931" s="5" t="str">
        <f t="array" ref="V931">XLOOKUP(U931,Skills[Action],Skills[Icon],"")</f>
        <v/>
      </c>
    </row>
    <row r="932">
      <c r="C932" s="7">
        <v>0.010763888888888889</v>
      </c>
      <c r="L932" s="5" t="str">
        <f t="array" ref="L932">XLOOKUP(K932,Skills[Action],Skills[Icon],"")</f>
        <v/>
      </c>
      <c r="N932" s="5" t="str">
        <f t="array" ref="N932">XLOOKUP(M932,Skills[Action],Skills[Icon],"")</f>
        <v/>
      </c>
      <c r="P932" s="5" t="str">
        <f t="array" ref="P932">XLOOKUP(O932,Skills[Action],Skills[Icon],"")</f>
        <v/>
      </c>
      <c r="R932" s="5" t="str">
        <f t="array" ref="R932">XLOOKUP(Q932,Skills[Action],Skills[Icon],"")</f>
        <v/>
      </c>
      <c r="T932" s="5" t="str">
        <f t="array" ref="T932">XLOOKUP(S932,Skills[Action],Skills[Icon],"")</f>
        <v/>
      </c>
      <c r="V932" s="5" t="str">
        <f t="array" ref="V932">XLOOKUP(U932,Skills[Action],Skills[Icon],"")</f>
        <v/>
      </c>
    </row>
    <row r="933">
      <c r="C933" s="7">
        <v>0.010775462962962962</v>
      </c>
      <c r="L933" s="5" t="str">
        <f t="array" ref="L933">XLOOKUP(K933,Skills[Action],Skills[Icon],"")</f>
        <v/>
      </c>
      <c r="N933" s="5" t="str">
        <f t="array" ref="N933">XLOOKUP(M933,Skills[Action],Skills[Icon],"")</f>
        <v/>
      </c>
      <c r="P933" s="5" t="str">
        <f t="array" ref="P933">XLOOKUP(O933,Skills[Action],Skills[Icon],"")</f>
        <v/>
      </c>
      <c r="R933" s="5" t="str">
        <f t="array" ref="R933">XLOOKUP(Q933,Skills[Action],Skills[Icon],"")</f>
        <v/>
      </c>
      <c r="T933" s="5" t="str">
        <f t="array" ref="T933">XLOOKUP(S933,Skills[Action],Skills[Icon],"")</f>
        <v/>
      </c>
      <c r="V933" s="5" t="str">
        <f t="array" ref="V933">XLOOKUP(U933,Skills[Action],Skills[Icon],"")</f>
        <v/>
      </c>
    </row>
    <row r="934">
      <c r="C934" s="7">
        <v>0.010787037037037038</v>
      </c>
      <c r="L934" s="5" t="str">
        <f t="array" ref="L934">XLOOKUP(K934,Skills[Action],Skills[Icon],"")</f>
        <v/>
      </c>
      <c r="N934" s="5" t="str">
        <f t="array" ref="N934">XLOOKUP(M934,Skills[Action],Skills[Icon],"")</f>
        <v/>
      </c>
      <c r="P934" s="5" t="str">
        <f t="array" ref="P934">XLOOKUP(O934,Skills[Action],Skills[Icon],"")</f>
        <v/>
      </c>
      <c r="R934" s="5" t="str">
        <f t="array" ref="R934">XLOOKUP(Q934,Skills[Action],Skills[Icon],"")</f>
        <v/>
      </c>
      <c r="T934" s="5" t="str">
        <f t="array" ref="T934">XLOOKUP(S934,Skills[Action],Skills[Icon],"")</f>
        <v/>
      </c>
      <c r="V934" s="5" t="str">
        <f t="array" ref="V934">XLOOKUP(U934,Skills[Action],Skills[Icon],"")</f>
        <v/>
      </c>
    </row>
    <row r="935">
      <c r="C935" s="7">
        <v>0.010798611111111111</v>
      </c>
      <c r="L935" s="5" t="str">
        <f t="array" ref="L935">XLOOKUP(K935,Skills[Action],Skills[Icon],"")</f>
        <v/>
      </c>
      <c r="N935" s="5" t="str">
        <f t="array" ref="N935">XLOOKUP(M935,Skills[Action],Skills[Icon],"")</f>
        <v/>
      </c>
      <c r="P935" s="5" t="str">
        <f t="array" ref="P935">XLOOKUP(O935,Skills[Action],Skills[Icon],"")</f>
        <v/>
      </c>
      <c r="R935" s="5" t="str">
        <f t="array" ref="R935">XLOOKUP(Q935,Skills[Action],Skills[Icon],"")</f>
        <v/>
      </c>
      <c r="T935" s="5" t="str">
        <f t="array" ref="T935">XLOOKUP(S935,Skills[Action],Skills[Icon],"")</f>
        <v/>
      </c>
      <c r="V935" s="5" t="str">
        <f t="array" ref="V935">XLOOKUP(U935,Skills[Action],Skills[Icon],"")</f>
        <v/>
      </c>
    </row>
    <row r="936">
      <c r="C936" s="7">
        <v>0.010810185185185185</v>
      </c>
      <c r="L936" s="5" t="str">
        <f t="array" ref="L936">XLOOKUP(K936,Skills[Action],Skills[Icon],"")</f>
        <v/>
      </c>
      <c r="N936" s="5" t="str">
        <f t="array" ref="N936">XLOOKUP(M936,Skills[Action],Skills[Icon],"")</f>
        <v/>
      </c>
      <c r="P936" s="5" t="str">
        <f t="array" ref="P936">XLOOKUP(O936,Skills[Action],Skills[Icon],"")</f>
        <v/>
      </c>
      <c r="R936" s="5" t="str">
        <f t="array" ref="R936">XLOOKUP(Q936,Skills[Action],Skills[Icon],"")</f>
        <v/>
      </c>
      <c r="T936" s="5" t="str">
        <f t="array" ref="T936">XLOOKUP(S936,Skills[Action],Skills[Icon],"")</f>
        <v/>
      </c>
      <c r="V936" s="5" t="str">
        <f t="array" ref="V936">XLOOKUP(U936,Skills[Action],Skills[Icon],"")</f>
        <v/>
      </c>
    </row>
    <row r="937">
      <c r="C937" s="7">
        <v>0.010821759259259258</v>
      </c>
      <c r="L937" s="5" t="str">
        <f t="array" ref="L937">XLOOKUP(K937,Skills[Action],Skills[Icon],"")</f>
        <v/>
      </c>
      <c r="N937" s="5" t="str">
        <f t="array" ref="N937">XLOOKUP(M937,Skills[Action],Skills[Icon],"")</f>
        <v/>
      </c>
      <c r="P937" s="5" t="str">
        <f t="array" ref="P937">XLOOKUP(O937,Skills[Action],Skills[Icon],"")</f>
        <v/>
      </c>
      <c r="R937" s="5" t="str">
        <f t="array" ref="R937">XLOOKUP(Q937,Skills[Action],Skills[Icon],"")</f>
        <v/>
      </c>
      <c r="T937" s="5" t="str">
        <f t="array" ref="T937">XLOOKUP(S937,Skills[Action],Skills[Icon],"")</f>
        <v/>
      </c>
      <c r="V937" s="5" t="str">
        <f t="array" ref="V937">XLOOKUP(U937,Skills[Action],Skills[Icon],"")</f>
        <v/>
      </c>
    </row>
    <row r="938">
      <c r="C938" s="7">
        <v>0.010833333333333334</v>
      </c>
      <c r="L938" s="5" t="str">
        <f t="array" ref="L938">XLOOKUP(K938,Skills[Action],Skills[Icon],"")</f>
        <v/>
      </c>
      <c r="N938" s="5" t="str">
        <f t="array" ref="N938">XLOOKUP(M938,Skills[Action],Skills[Icon],"")</f>
        <v/>
      </c>
      <c r="P938" s="5" t="str">
        <f t="array" ref="P938">XLOOKUP(O938,Skills[Action],Skills[Icon],"")</f>
        <v/>
      </c>
      <c r="R938" s="5" t="str">
        <f t="array" ref="R938">XLOOKUP(Q938,Skills[Action],Skills[Icon],"")</f>
        <v/>
      </c>
      <c r="T938" s="5" t="str">
        <f t="array" ref="T938">XLOOKUP(S938,Skills[Action],Skills[Icon],"")</f>
        <v/>
      </c>
      <c r="V938" s="5" t="str">
        <f t="array" ref="V938">XLOOKUP(U938,Skills[Action],Skills[Icon],"")</f>
        <v/>
      </c>
    </row>
    <row r="939">
      <c r="C939" s="7">
        <v>0.010844907407407407</v>
      </c>
      <c r="L939" s="5" t="str">
        <f t="array" ref="L939">XLOOKUP(K939,Skills[Action],Skills[Icon],"")</f>
        <v/>
      </c>
      <c r="N939" s="5" t="str">
        <f t="array" ref="N939">XLOOKUP(M939,Skills[Action],Skills[Icon],"")</f>
        <v/>
      </c>
      <c r="P939" s="5" t="str">
        <f t="array" ref="P939">XLOOKUP(O939,Skills[Action],Skills[Icon],"")</f>
        <v/>
      </c>
      <c r="R939" s="5" t="str">
        <f t="array" ref="R939">XLOOKUP(Q939,Skills[Action],Skills[Icon],"")</f>
        <v/>
      </c>
      <c r="T939" s="5" t="str">
        <f t="array" ref="T939">XLOOKUP(S939,Skills[Action],Skills[Icon],"")</f>
        <v/>
      </c>
      <c r="V939" s="5" t="str">
        <f t="array" ref="V939">XLOOKUP(U939,Skills[Action],Skills[Icon],"")</f>
        <v/>
      </c>
    </row>
    <row r="940">
      <c r="C940" s="7">
        <v>0.01085648148148148</v>
      </c>
      <c r="L940" s="5" t="str">
        <f t="array" ref="L940">XLOOKUP(K940,Skills[Action],Skills[Icon],"")</f>
        <v/>
      </c>
      <c r="N940" s="5" t="str">
        <f t="array" ref="N940">XLOOKUP(M940,Skills[Action],Skills[Icon],"")</f>
        <v/>
      </c>
      <c r="P940" s="5" t="str">
        <f t="array" ref="P940">XLOOKUP(O940,Skills[Action],Skills[Icon],"")</f>
        <v/>
      </c>
      <c r="R940" s="5" t="str">
        <f t="array" ref="R940">XLOOKUP(Q940,Skills[Action],Skills[Icon],"")</f>
        <v/>
      </c>
      <c r="T940" s="5" t="str">
        <f t="array" ref="T940">XLOOKUP(S940,Skills[Action],Skills[Icon],"")</f>
        <v/>
      </c>
      <c r="V940" s="5" t="str">
        <f t="array" ref="V940">XLOOKUP(U940,Skills[Action],Skills[Icon],"")</f>
        <v/>
      </c>
    </row>
    <row r="941">
      <c r="C941" s="7">
        <v>0.010868055555555556</v>
      </c>
      <c r="L941" s="5" t="str">
        <f t="array" ref="L941">XLOOKUP(K941,Skills[Action],Skills[Icon],"")</f>
        <v/>
      </c>
      <c r="N941" s="5" t="str">
        <f t="array" ref="N941">XLOOKUP(M941,Skills[Action],Skills[Icon],"")</f>
        <v/>
      </c>
      <c r="P941" s="5" t="str">
        <f t="array" ref="P941">XLOOKUP(O941,Skills[Action],Skills[Icon],"")</f>
        <v/>
      </c>
      <c r="R941" s="5" t="str">
        <f t="array" ref="R941">XLOOKUP(Q941,Skills[Action],Skills[Icon],"")</f>
        <v/>
      </c>
      <c r="T941" s="5" t="str">
        <f t="array" ref="T941">XLOOKUP(S941,Skills[Action],Skills[Icon],"")</f>
        <v/>
      </c>
      <c r="V941" s="5" t="str">
        <f t="array" ref="V941">XLOOKUP(U941,Skills[Action],Skills[Icon],"")</f>
        <v/>
      </c>
    </row>
    <row r="942">
      <c r="C942" s="7">
        <v>0.01087962962962963</v>
      </c>
      <c r="L942" s="5" t="str">
        <f t="array" ref="L942">XLOOKUP(K942,Skills[Action],Skills[Icon],"")</f>
        <v/>
      </c>
      <c r="N942" s="5" t="str">
        <f t="array" ref="N942">XLOOKUP(M942,Skills[Action],Skills[Icon],"")</f>
        <v/>
      </c>
      <c r="P942" s="5" t="str">
        <f t="array" ref="P942">XLOOKUP(O942,Skills[Action],Skills[Icon],"")</f>
        <v/>
      </c>
      <c r="R942" s="5" t="str">
        <f t="array" ref="R942">XLOOKUP(Q942,Skills[Action],Skills[Icon],"")</f>
        <v/>
      </c>
      <c r="T942" s="5" t="str">
        <f t="array" ref="T942">XLOOKUP(S942,Skills[Action],Skills[Icon],"")</f>
        <v/>
      </c>
      <c r="V942" s="5" t="str">
        <f t="array" ref="V942">XLOOKUP(U942,Skills[Action],Skills[Icon],"")</f>
        <v/>
      </c>
    </row>
    <row r="943">
      <c r="C943" s="7">
        <v>0.010891203703703703</v>
      </c>
      <c r="L943" s="5" t="str">
        <f t="array" ref="L943">XLOOKUP(K943,Skills[Action],Skills[Icon],"")</f>
        <v/>
      </c>
      <c r="N943" s="5" t="str">
        <f t="array" ref="N943">XLOOKUP(M943,Skills[Action],Skills[Icon],"")</f>
        <v/>
      </c>
      <c r="P943" s="5" t="str">
        <f t="array" ref="P943">XLOOKUP(O943,Skills[Action],Skills[Icon],"")</f>
        <v/>
      </c>
      <c r="R943" s="5" t="str">
        <f t="array" ref="R943">XLOOKUP(Q943,Skills[Action],Skills[Icon],"")</f>
        <v/>
      </c>
      <c r="T943" s="5" t="str">
        <f t="array" ref="T943">XLOOKUP(S943,Skills[Action],Skills[Icon],"")</f>
        <v/>
      </c>
      <c r="V943" s="5" t="str">
        <f t="array" ref="V943">XLOOKUP(U943,Skills[Action],Skills[Icon],"")</f>
        <v/>
      </c>
    </row>
    <row r="944">
      <c r="C944" s="7">
        <v>0.010902777777777779</v>
      </c>
      <c r="L944" s="5" t="str">
        <f t="array" ref="L944">XLOOKUP(K944,Skills[Action],Skills[Icon],"")</f>
        <v/>
      </c>
      <c r="N944" s="5" t="str">
        <f t="array" ref="N944">XLOOKUP(M944,Skills[Action],Skills[Icon],"")</f>
        <v/>
      </c>
      <c r="P944" s="5" t="str">
        <f t="array" ref="P944">XLOOKUP(O944,Skills[Action],Skills[Icon],"")</f>
        <v/>
      </c>
      <c r="R944" s="5" t="str">
        <f t="array" ref="R944">XLOOKUP(Q944,Skills[Action],Skills[Icon],"")</f>
        <v/>
      </c>
      <c r="T944" s="5" t="str">
        <f t="array" ref="T944">XLOOKUP(S944,Skills[Action],Skills[Icon],"")</f>
        <v/>
      </c>
      <c r="V944" s="5" t="str">
        <f t="array" ref="V944">XLOOKUP(U944,Skills[Action],Skills[Icon],"")</f>
        <v/>
      </c>
    </row>
    <row r="945">
      <c r="C945" s="7">
        <v>0.010914351851851852</v>
      </c>
      <c r="L945" s="5" t="str">
        <f t="array" ref="L945">XLOOKUP(K945,Skills[Action],Skills[Icon],"")</f>
        <v/>
      </c>
      <c r="N945" s="5" t="str">
        <f t="array" ref="N945">XLOOKUP(M945,Skills[Action],Skills[Icon],"")</f>
        <v/>
      </c>
      <c r="P945" s="5" t="str">
        <f t="array" ref="P945">XLOOKUP(O945,Skills[Action],Skills[Icon],"")</f>
        <v/>
      </c>
      <c r="R945" s="5" t="str">
        <f t="array" ref="R945">XLOOKUP(Q945,Skills[Action],Skills[Icon],"")</f>
        <v/>
      </c>
      <c r="T945" s="5" t="str">
        <f t="array" ref="T945">XLOOKUP(S945,Skills[Action],Skills[Icon],"")</f>
        <v/>
      </c>
      <c r="V945" s="5" t="str">
        <f t="array" ref="V945">XLOOKUP(U945,Skills[Action],Skills[Icon],"")</f>
        <v/>
      </c>
    </row>
    <row r="946">
      <c r="C946" s="7">
        <v>0.010925925925925926</v>
      </c>
      <c r="L946" s="5" t="str">
        <f t="array" ref="L946">XLOOKUP(K946,Skills[Action],Skills[Icon],"")</f>
        <v/>
      </c>
      <c r="N946" s="5" t="str">
        <f t="array" ref="N946">XLOOKUP(M946,Skills[Action],Skills[Icon],"")</f>
        <v/>
      </c>
      <c r="P946" s="5" t="str">
        <f t="array" ref="P946">XLOOKUP(O946,Skills[Action],Skills[Icon],"")</f>
        <v/>
      </c>
      <c r="R946" s="5" t="str">
        <f t="array" ref="R946">XLOOKUP(Q946,Skills[Action],Skills[Icon],"")</f>
        <v/>
      </c>
      <c r="T946" s="5" t="str">
        <f t="array" ref="T946">XLOOKUP(S946,Skills[Action],Skills[Icon],"")</f>
        <v/>
      </c>
      <c r="V946" s="5" t="str">
        <f t="array" ref="V946">XLOOKUP(U946,Skills[Action],Skills[Icon],"")</f>
        <v/>
      </c>
    </row>
    <row r="947">
      <c r="C947" s="7">
        <v>0.0109375</v>
      </c>
      <c r="L947" s="5" t="str">
        <f t="array" ref="L947">XLOOKUP(K947,Skills[Action],Skills[Icon],"")</f>
        <v/>
      </c>
      <c r="N947" s="5" t="str">
        <f t="array" ref="N947">XLOOKUP(M947,Skills[Action],Skills[Icon],"")</f>
        <v/>
      </c>
      <c r="P947" s="5" t="str">
        <f t="array" ref="P947">XLOOKUP(O947,Skills[Action],Skills[Icon],"")</f>
        <v/>
      </c>
      <c r="R947" s="5" t="str">
        <f t="array" ref="R947">XLOOKUP(Q947,Skills[Action],Skills[Icon],"")</f>
        <v/>
      </c>
      <c r="T947" s="5" t="str">
        <f t="array" ref="T947">XLOOKUP(S947,Skills[Action],Skills[Icon],"")</f>
        <v/>
      </c>
      <c r="V947" s="5" t="str">
        <f t="array" ref="V947">XLOOKUP(U947,Skills[Action],Skills[Icon],"")</f>
        <v/>
      </c>
    </row>
    <row r="948">
      <c r="C948" s="7">
        <v>0.010949074074074075</v>
      </c>
      <c r="L948" s="5" t="str">
        <f t="array" ref="L948">XLOOKUP(K948,Skills[Action],Skills[Icon],"")</f>
        <v/>
      </c>
      <c r="N948" s="5" t="str">
        <f t="array" ref="N948">XLOOKUP(M948,Skills[Action],Skills[Icon],"")</f>
        <v/>
      </c>
      <c r="P948" s="5" t="str">
        <f t="array" ref="P948">XLOOKUP(O948,Skills[Action],Skills[Icon],"")</f>
        <v/>
      </c>
      <c r="R948" s="5" t="str">
        <f t="array" ref="R948">XLOOKUP(Q948,Skills[Action],Skills[Icon],"")</f>
        <v/>
      </c>
      <c r="T948" s="5" t="str">
        <f t="array" ref="T948">XLOOKUP(S948,Skills[Action],Skills[Icon],"")</f>
        <v/>
      </c>
      <c r="V948" s="5" t="str">
        <f t="array" ref="V948">XLOOKUP(U948,Skills[Action],Skills[Icon],"")</f>
        <v/>
      </c>
    </row>
    <row r="949">
      <c r="C949" s="7">
        <v>0.010960648148148148</v>
      </c>
      <c r="L949" s="5" t="str">
        <f t="array" ref="L949">XLOOKUP(K949,Skills[Action],Skills[Icon],"")</f>
        <v/>
      </c>
      <c r="N949" s="5" t="str">
        <f t="array" ref="N949">XLOOKUP(M949,Skills[Action],Skills[Icon],"")</f>
        <v/>
      </c>
      <c r="P949" s="5" t="str">
        <f t="array" ref="P949">XLOOKUP(O949,Skills[Action],Skills[Icon],"")</f>
        <v/>
      </c>
      <c r="R949" s="5" t="str">
        <f t="array" ref="R949">XLOOKUP(Q949,Skills[Action],Skills[Icon],"")</f>
        <v/>
      </c>
      <c r="T949" s="5" t="str">
        <f t="array" ref="T949">XLOOKUP(S949,Skills[Action],Skills[Icon],"")</f>
        <v/>
      </c>
      <c r="V949" s="5" t="str">
        <f t="array" ref="V949">XLOOKUP(U949,Skills[Action],Skills[Icon],"")</f>
        <v/>
      </c>
    </row>
    <row r="950">
      <c r="C950" s="7">
        <v>0.010972222222222222</v>
      </c>
      <c r="L950" s="5" t="str">
        <f t="array" ref="L950">XLOOKUP(K950,Skills[Action],Skills[Icon],"")</f>
        <v/>
      </c>
      <c r="N950" s="5" t="str">
        <f t="array" ref="N950">XLOOKUP(M950,Skills[Action],Skills[Icon],"")</f>
        <v/>
      </c>
      <c r="P950" s="5" t="str">
        <f t="array" ref="P950">XLOOKUP(O950,Skills[Action],Skills[Icon],"")</f>
        <v/>
      </c>
      <c r="R950" s="5" t="str">
        <f t="array" ref="R950">XLOOKUP(Q950,Skills[Action],Skills[Icon],"")</f>
        <v/>
      </c>
      <c r="T950" s="5" t="str">
        <f t="array" ref="T950">XLOOKUP(S950,Skills[Action],Skills[Icon],"")</f>
        <v/>
      </c>
      <c r="V950" s="5" t="str">
        <f t="array" ref="V950">XLOOKUP(U950,Skills[Action],Skills[Icon],"")</f>
        <v/>
      </c>
    </row>
    <row r="951">
      <c r="C951" s="7">
        <v>0.010983796296296297</v>
      </c>
      <c r="L951" s="5" t="str">
        <f t="array" ref="L951">XLOOKUP(K951,Skills[Action],Skills[Icon],"")</f>
        <v/>
      </c>
      <c r="N951" s="5" t="str">
        <f t="array" ref="N951">XLOOKUP(M951,Skills[Action],Skills[Icon],"")</f>
        <v/>
      </c>
      <c r="P951" s="5" t="str">
        <f t="array" ref="P951">XLOOKUP(O951,Skills[Action],Skills[Icon],"")</f>
        <v/>
      </c>
      <c r="R951" s="5" t="str">
        <f t="array" ref="R951">XLOOKUP(Q951,Skills[Action],Skills[Icon],"")</f>
        <v/>
      </c>
      <c r="T951" s="5" t="str">
        <f t="array" ref="T951">XLOOKUP(S951,Skills[Action],Skills[Icon],"")</f>
        <v/>
      </c>
      <c r="V951" s="5" t="str">
        <f t="array" ref="V951">XLOOKUP(U951,Skills[Action],Skills[Icon],"")</f>
        <v/>
      </c>
    </row>
    <row r="952">
      <c r="C952" s="7">
        <v>0.01099537037037037</v>
      </c>
      <c r="L952" s="5" t="str">
        <f t="array" ref="L952">XLOOKUP(K952,Skills[Action],Skills[Icon],"")</f>
        <v/>
      </c>
      <c r="N952" s="5" t="str">
        <f t="array" ref="N952">XLOOKUP(M952,Skills[Action],Skills[Icon],"")</f>
        <v/>
      </c>
      <c r="P952" s="5" t="str">
        <f t="array" ref="P952">XLOOKUP(O952,Skills[Action],Skills[Icon],"")</f>
        <v/>
      </c>
      <c r="R952" s="5" t="str">
        <f t="array" ref="R952">XLOOKUP(Q952,Skills[Action],Skills[Icon],"")</f>
        <v/>
      </c>
      <c r="T952" s="5" t="str">
        <f t="array" ref="T952">XLOOKUP(S952,Skills[Action],Skills[Icon],"")</f>
        <v/>
      </c>
      <c r="V952" s="5" t="str">
        <f t="array" ref="V952">XLOOKUP(U952,Skills[Action],Skills[Icon],"")</f>
        <v/>
      </c>
    </row>
    <row r="953">
      <c r="C953" s="7">
        <v>0.011006944444444444</v>
      </c>
      <c r="L953" s="5" t="str">
        <f t="array" ref="L953">XLOOKUP(K953,Skills[Action],Skills[Icon],"")</f>
        <v/>
      </c>
      <c r="N953" s="5" t="str">
        <f t="array" ref="N953">XLOOKUP(M953,Skills[Action],Skills[Icon],"")</f>
        <v/>
      </c>
      <c r="P953" s="5" t="str">
        <f t="array" ref="P953">XLOOKUP(O953,Skills[Action],Skills[Icon],"")</f>
        <v/>
      </c>
      <c r="R953" s="5" t="str">
        <f t="array" ref="R953">XLOOKUP(Q953,Skills[Action],Skills[Icon],"")</f>
        <v/>
      </c>
      <c r="T953" s="5" t="str">
        <f t="array" ref="T953">XLOOKUP(S953,Skills[Action],Skills[Icon],"")</f>
        <v/>
      </c>
      <c r="V953" s="5" t="str">
        <f t="array" ref="V953">XLOOKUP(U953,Skills[Action],Skills[Icon],"")</f>
        <v/>
      </c>
    </row>
    <row r="954">
      <c r="C954" s="7">
        <v>0.011018518518518518</v>
      </c>
      <c r="L954" s="5" t="str">
        <f t="array" ref="L954">XLOOKUP(K954,Skills[Action],Skills[Icon],"")</f>
        <v/>
      </c>
      <c r="N954" s="5" t="str">
        <f t="array" ref="N954">XLOOKUP(M954,Skills[Action],Skills[Icon],"")</f>
        <v/>
      </c>
      <c r="P954" s="5" t="str">
        <f t="array" ref="P954">XLOOKUP(O954,Skills[Action],Skills[Icon],"")</f>
        <v/>
      </c>
      <c r="R954" s="5" t="str">
        <f t="array" ref="R954">XLOOKUP(Q954,Skills[Action],Skills[Icon],"")</f>
        <v/>
      </c>
      <c r="T954" s="5" t="str">
        <f t="array" ref="T954">XLOOKUP(S954,Skills[Action],Skills[Icon],"")</f>
        <v/>
      </c>
      <c r="V954" s="5" t="str">
        <f t="array" ref="V954">XLOOKUP(U954,Skills[Action],Skills[Icon],"")</f>
        <v/>
      </c>
    </row>
    <row r="955">
      <c r="C955" s="7">
        <v>0.011030092592592593</v>
      </c>
      <c r="L955" s="5" t="str">
        <f t="array" ref="L955">XLOOKUP(K955,Skills[Action],Skills[Icon],"")</f>
        <v/>
      </c>
      <c r="N955" s="5" t="str">
        <f t="array" ref="N955">XLOOKUP(M955,Skills[Action],Skills[Icon],"")</f>
        <v/>
      </c>
      <c r="P955" s="5" t="str">
        <f t="array" ref="P955">XLOOKUP(O955,Skills[Action],Skills[Icon],"")</f>
        <v/>
      </c>
      <c r="R955" s="5" t="str">
        <f t="array" ref="R955">XLOOKUP(Q955,Skills[Action],Skills[Icon],"")</f>
        <v/>
      </c>
      <c r="T955" s="5" t="str">
        <f t="array" ref="T955">XLOOKUP(S955,Skills[Action],Skills[Icon],"")</f>
        <v/>
      </c>
      <c r="V955" s="5" t="str">
        <f t="array" ref="V955">XLOOKUP(U955,Skills[Action],Skills[Icon],"")</f>
        <v/>
      </c>
    </row>
    <row r="956">
      <c r="C956" s="7">
        <v>0.011041666666666667</v>
      </c>
      <c r="L956" s="5" t="str">
        <f t="array" ref="L956">XLOOKUP(K956,Skills[Action],Skills[Icon],"")</f>
        <v/>
      </c>
      <c r="N956" s="5" t="str">
        <f t="array" ref="N956">XLOOKUP(M956,Skills[Action],Skills[Icon],"")</f>
        <v/>
      </c>
      <c r="P956" s="5" t="str">
        <f t="array" ref="P956">XLOOKUP(O956,Skills[Action],Skills[Icon],"")</f>
        <v/>
      </c>
      <c r="R956" s="5" t="str">
        <f t="array" ref="R956">XLOOKUP(Q956,Skills[Action],Skills[Icon],"")</f>
        <v/>
      </c>
      <c r="T956" s="5" t="str">
        <f t="array" ref="T956">XLOOKUP(S956,Skills[Action],Skills[Icon],"")</f>
        <v/>
      </c>
      <c r="V956" s="5" t="str">
        <f t="array" ref="V956">XLOOKUP(U956,Skills[Action],Skills[Icon],"")</f>
        <v/>
      </c>
    </row>
    <row r="957">
      <c r="C957" s="7">
        <v>0.01105324074074074</v>
      </c>
      <c r="L957" s="5" t="str">
        <f t="array" ref="L957">XLOOKUP(K957,Skills[Action],Skills[Icon],"")</f>
        <v/>
      </c>
      <c r="N957" s="5" t="str">
        <f t="array" ref="N957">XLOOKUP(M957,Skills[Action],Skills[Icon],"")</f>
        <v/>
      </c>
      <c r="P957" s="5" t="str">
        <f t="array" ref="P957">XLOOKUP(O957,Skills[Action],Skills[Icon],"")</f>
        <v/>
      </c>
      <c r="R957" s="5" t="str">
        <f t="array" ref="R957">XLOOKUP(Q957,Skills[Action],Skills[Icon],"")</f>
        <v/>
      </c>
      <c r="T957" s="5" t="str">
        <f t="array" ref="T957">XLOOKUP(S957,Skills[Action],Skills[Icon],"")</f>
        <v/>
      </c>
      <c r="V957" s="5" t="str">
        <f t="array" ref="V957">XLOOKUP(U957,Skills[Action],Skills[Icon],"")</f>
        <v/>
      </c>
    </row>
    <row r="958">
      <c r="C958" s="7">
        <v>0.011064814814814816</v>
      </c>
      <c r="L958" s="5" t="str">
        <f t="array" ref="L958">XLOOKUP(K958,Skills[Action],Skills[Icon],"")</f>
        <v/>
      </c>
      <c r="N958" s="5" t="str">
        <f t="array" ref="N958">XLOOKUP(M958,Skills[Action],Skills[Icon],"")</f>
        <v/>
      </c>
      <c r="P958" s="5" t="str">
        <f t="array" ref="P958">XLOOKUP(O958,Skills[Action],Skills[Icon],"")</f>
        <v/>
      </c>
      <c r="R958" s="5" t="str">
        <f t="array" ref="R958">XLOOKUP(Q958,Skills[Action],Skills[Icon],"")</f>
        <v/>
      </c>
      <c r="T958" s="5" t="str">
        <f t="array" ref="T958">XLOOKUP(S958,Skills[Action],Skills[Icon],"")</f>
        <v/>
      </c>
      <c r="V958" s="5" t="str">
        <f t="array" ref="V958">XLOOKUP(U958,Skills[Action],Skills[Icon],"")</f>
        <v/>
      </c>
    </row>
    <row r="959">
      <c r="C959" s="7">
        <v>0.011076388888888889</v>
      </c>
      <c r="L959" s="5" t="str">
        <f t="array" ref="L959">XLOOKUP(K959,Skills[Action],Skills[Icon],"")</f>
        <v/>
      </c>
      <c r="N959" s="5" t="str">
        <f t="array" ref="N959">XLOOKUP(M959,Skills[Action],Skills[Icon],"")</f>
        <v/>
      </c>
      <c r="P959" s="5" t="str">
        <f t="array" ref="P959">XLOOKUP(O959,Skills[Action],Skills[Icon],"")</f>
        <v/>
      </c>
      <c r="R959" s="5" t="str">
        <f t="array" ref="R959">XLOOKUP(Q959,Skills[Action],Skills[Icon],"")</f>
        <v/>
      </c>
      <c r="T959" s="5" t="str">
        <f t="array" ref="T959">XLOOKUP(S959,Skills[Action],Skills[Icon],"")</f>
        <v/>
      </c>
      <c r="V959" s="5" t="str">
        <f t="array" ref="V959">XLOOKUP(U959,Skills[Action],Skills[Icon],"")</f>
        <v/>
      </c>
    </row>
    <row r="960">
      <c r="C960" s="7">
        <v>0.011087962962962963</v>
      </c>
      <c r="L960" s="5" t="str">
        <f t="array" ref="L960">XLOOKUP(K960,Skills[Action],Skills[Icon],"")</f>
        <v/>
      </c>
      <c r="N960" s="5" t="str">
        <f t="array" ref="N960">XLOOKUP(M960,Skills[Action],Skills[Icon],"")</f>
        <v/>
      </c>
      <c r="P960" s="5" t="str">
        <f t="array" ref="P960">XLOOKUP(O960,Skills[Action],Skills[Icon],"")</f>
        <v/>
      </c>
      <c r="R960" s="5" t="str">
        <f t="array" ref="R960">XLOOKUP(Q960,Skills[Action],Skills[Icon],"")</f>
        <v/>
      </c>
      <c r="T960" s="5" t="str">
        <f t="array" ref="T960">XLOOKUP(S960,Skills[Action],Skills[Icon],"")</f>
        <v/>
      </c>
      <c r="V960" s="5" t="str">
        <f t="array" ref="V960">XLOOKUP(U960,Skills[Action],Skills[Icon],"")</f>
        <v/>
      </c>
    </row>
    <row r="961">
      <c r="C961" s="7">
        <v>0.011099537037037036</v>
      </c>
      <c r="L961" s="5" t="str">
        <f t="array" ref="L961">XLOOKUP(K961,Skills[Action],Skills[Icon],"")</f>
        <v/>
      </c>
      <c r="N961" s="5" t="str">
        <f t="array" ref="N961">XLOOKUP(M961,Skills[Action],Skills[Icon],"")</f>
        <v/>
      </c>
      <c r="P961" s="5" t="str">
        <f t="array" ref="P961">XLOOKUP(O961,Skills[Action],Skills[Icon],"")</f>
        <v/>
      </c>
      <c r="R961" s="5" t="str">
        <f t="array" ref="R961">XLOOKUP(Q961,Skills[Action],Skills[Icon],"")</f>
        <v/>
      </c>
      <c r="T961" s="5" t="str">
        <f t="array" ref="T961">XLOOKUP(S961,Skills[Action],Skills[Icon],"")</f>
        <v/>
      </c>
      <c r="V961" s="5" t="str">
        <f t="array" ref="V961">XLOOKUP(U961,Skills[Action],Skills[Icon],"")</f>
        <v/>
      </c>
    </row>
    <row r="962">
      <c r="C962" s="7">
        <v>0.011111111111111112</v>
      </c>
      <c r="L962" s="5" t="str">
        <f t="array" ref="L962">XLOOKUP(K962,Skills[Action],Skills[Icon],"")</f>
        <v/>
      </c>
      <c r="N962" s="5" t="str">
        <f t="array" ref="N962">XLOOKUP(M962,Skills[Action],Skills[Icon],"")</f>
        <v/>
      </c>
      <c r="P962" s="5" t="str">
        <f t="array" ref="P962">XLOOKUP(O962,Skills[Action],Skills[Icon],"")</f>
        <v/>
      </c>
      <c r="R962" s="5" t="str">
        <f t="array" ref="R962">XLOOKUP(Q962,Skills[Action],Skills[Icon],"")</f>
        <v/>
      </c>
      <c r="T962" s="5" t="str">
        <f t="array" ref="T962">XLOOKUP(S962,Skills[Action],Skills[Icon],"")</f>
        <v/>
      </c>
      <c r="V962" s="5" t="str">
        <f t="array" ref="V962">XLOOKUP(U962,Skills[Action],Skills[Icon],"")</f>
        <v/>
      </c>
    </row>
    <row r="963">
      <c r="C963" s="7">
        <v>0.011122685185185185</v>
      </c>
      <c r="L963" s="5" t="str">
        <f t="array" ref="L963">XLOOKUP(K963,Skills[Action],Skills[Icon],"")</f>
        <v/>
      </c>
      <c r="N963" s="5" t="str">
        <f t="array" ref="N963">XLOOKUP(M963,Skills[Action],Skills[Icon],"")</f>
        <v/>
      </c>
      <c r="P963" s="5" t="str">
        <f t="array" ref="P963">XLOOKUP(O963,Skills[Action],Skills[Icon],"")</f>
        <v/>
      </c>
      <c r="R963" s="5" t="str">
        <f t="array" ref="R963">XLOOKUP(Q963,Skills[Action],Skills[Icon],"")</f>
        <v/>
      </c>
      <c r="T963" s="5" t="str">
        <f t="array" ref="T963">XLOOKUP(S963,Skills[Action],Skills[Icon],"")</f>
        <v/>
      </c>
      <c r="V963" s="5" t="str">
        <f t="array" ref="V963">XLOOKUP(U963,Skills[Action],Skills[Icon],"")</f>
        <v/>
      </c>
    </row>
    <row r="964">
      <c r="C964" s="7">
        <v>0.011134259259259259</v>
      </c>
      <c r="L964" s="5" t="str">
        <f t="array" ref="L964">XLOOKUP(K964,Skills[Action],Skills[Icon],"")</f>
        <v/>
      </c>
      <c r="N964" s="5" t="str">
        <f t="array" ref="N964">XLOOKUP(M964,Skills[Action],Skills[Icon],"")</f>
        <v/>
      </c>
      <c r="P964" s="5" t="str">
        <f t="array" ref="P964">XLOOKUP(O964,Skills[Action],Skills[Icon],"")</f>
        <v/>
      </c>
      <c r="R964" s="5" t="str">
        <f t="array" ref="R964">XLOOKUP(Q964,Skills[Action],Skills[Icon],"")</f>
        <v/>
      </c>
      <c r="T964" s="5" t="str">
        <f t="array" ref="T964">XLOOKUP(S964,Skills[Action],Skills[Icon],"")</f>
        <v/>
      </c>
      <c r="V964" s="5" t="str">
        <f t="array" ref="V964">XLOOKUP(U964,Skills[Action],Skills[Icon],"")</f>
        <v/>
      </c>
    </row>
    <row r="965">
      <c r="C965" s="7">
        <v>0.011145833333333334</v>
      </c>
      <c r="L965" s="5" t="str">
        <f t="array" ref="L965">XLOOKUP(K965,Skills[Action],Skills[Icon],"")</f>
        <v/>
      </c>
      <c r="N965" s="5" t="str">
        <f t="array" ref="N965">XLOOKUP(M965,Skills[Action],Skills[Icon],"")</f>
        <v/>
      </c>
      <c r="P965" s="5" t="str">
        <f t="array" ref="P965">XLOOKUP(O965,Skills[Action],Skills[Icon],"")</f>
        <v/>
      </c>
      <c r="R965" s="5" t="str">
        <f t="array" ref="R965">XLOOKUP(Q965,Skills[Action],Skills[Icon],"")</f>
        <v/>
      </c>
      <c r="T965" s="5" t="str">
        <f t="array" ref="T965">XLOOKUP(S965,Skills[Action],Skills[Icon],"")</f>
        <v/>
      </c>
      <c r="V965" s="5" t="str">
        <f t="array" ref="V965">XLOOKUP(U965,Skills[Action],Skills[Icon],"")</f>
        <v/>
      </c>
    </row>
    <row r="966">
      <c r="C966" s="7">
        <v>0.011157407407407408</v>
      </c>
      <c r="L966" s="5" t="str">
        <f t="array" ref="L966">XLOOKUP(K966,Skills[Action],Skills[Icon],"")</f>
        <v/>
      </c>
      <c r="N966" s="5" t="str">
        <f t="array" ref="N966">XLOOKUP(M966,Skills[Action],Skills[Icon],"")</f>
        <v/>
      </c>
      <c r="P966" s="5" t="str">
        <f t="array" ref="P966">XLOOKUP(O966,Skills[Action],Skills[Icon],"")</f>
        <v/>
      </c>
      <c r="R966" s="5" t="str">
        <f t="array" ref="R966">XLOOKUP(Q966,Skills[Action],Skills[Icon],"")</f>
        <v/>
      </c>
      <c r="T966" s="5" t="str">
        <f t="array" ref="T966">XLOOKUP(S966,Skills[Action],Skills[Icon],"")</f>
        <v/>
      </c>
      <c r="V966" s="5" t="str">
        <f t="array" ref="V966">XLOOKUP(U966,Skills[Action],Skills[Icon],"")</f>
        <v/>
      </c>
    </row>
    <row r="967">
      <c r="C967" s="7">
        <v>0.011168981481481481</v>
      </c>
      <c r="L967" s="5" t="str">
        <f t="array" ref="L967">XLOOKUP(K967,Skills[Action],Skills[Icon],"")</f>
        <v/>
      </c>
      <c r="N967" s="5" t="str">
        <f t="array" ref="N967">XLOOKUP(M967,Skills[Action],Skills[Icon],"")</f>
        <v/>
      </c>
      <c r="P967" s="5" t="str">
        <f t="array" ref="P967">XLOOKUP(O967,Skills[Action],Skills[Icon],"")</f>
        <v/>
      </c>
      <c r="R967" s="5" t="str">
        <f t="array" ref="R967">XLOOKUP(Q967,Skills[Action],Skills[Icon],"")</f>
        <v/>
      </c>
      <c r="T967" s="5" t="str">
        <f t="array" ref="T967">XLOOKUP(S967,Skills[Action],Skills[Icon],"")</f>
        <v/>
      </c>
      <c r="V967" s="5" t="str">
        <f t="array" ref="V967">XLOOKUP(U967,Skills[Action],Skills[Icon],"")</f>
        <v/>
      </c>
    </row>
    <row r="968">
      <c r="C968" s="7">
        <v>0.011180555555555555</v>
      </c>
      <c r="L968" s="5" t="str">
        <f t="array" ref="L968">XLOOKUP(K968,Skills[Action],Skills[Icon],"")</f>
        <v/>
      </c>
      <c r="N968" s="5" t="str">
        <f t="array" ref="N968">XLOOKUP(M968,Skills[Action],Skills[Icon],"")</f>
        <v/>
      </c>
      <c r="P968" s="5" t="str">
        <f t="array" ref="P968">XLOOKUP(O968,Skills[Action],Skills[Icon],"")</f>
        <v/>
      </c>
      <c r="R968" s="5" t="str">
        <f t="array" ref="R968">XLOOKUP(Q968,Skills[Action],Skills[Icon],"")</f>
        <v/>
      </c>
      <c r="T968" s="5" t="str">
        <f t="array" ref="T968">XLOOKUP(S968,Skills[Action],Skills[Icon],"")</f>
        <v/>
      </c>
      <c r="V968" s="5" t="str">
        <f t="array" ref="V968">XLOOKUP(U968,Skills[Action],Skills[Icon],"")</f>
        <v/>
      </c>
    </row>
    <row r="969">
      <c r="C969" s="7">
        <v>0.01119212962962963</v>
      </c>
      <c r="L969" s="5" t="str">
        <f t="array" ref="L969">XLOOKUP(K969,Skills[Action],Skills[Icon],"")</f>
        <v/>
      </c>
      <c r="N969" s="5" t="str">
        <f t="array" ref="N969">XLOOKUP(M969,Skills[Action],Skills[Icon],"")</f>
        <v/>
      </c>
      <c r="P969" s="5" t="str">
        <f t="array" ref="P969">XLOOKUP(O969,Skills[Action],Skills[Icon],"")</f>
        <v/>
      </c>
      <c r="R969" s="5" t="str">
        <f t="array" ref="R969">XLOOKUP(Q969,Skills[Action],Skills[Icon],"")</f>
        <v/>
      </c>
      <c r="T969" s="5" t="str">
        <f t="array" ref="T969">XLOOKUP(S969,Skills[Action],Skills[Icon],"")</f>
        <v/>
      </c>
      <c r="V969" s="5" t="str">
        <f t="array" ref="V969">XLOOKUP(U969,Skills[Action],Skills[Icon],"")</f>
        <v/>
      </c>
    </row>
    <row r="970">
      <c r="C970" s="7">
        <v>0.011203703703703704</v>
      </c>
      <c r="L970" s="5" t="str">
        <f t="array" ref="L970">XLOOKUP(K970,Skills[Action],Skills[Icon],"")</f>
        <v/>
      </c>
      <c r="N970" s="5" t="str">
        <f t="array" ref="N970">XLOOKUP(M970,Skills[Action],Skills[Icon],"")</f>
        <v/>
      </c>
      <c r="P970" s="5" t="str">
        <f t="array" ref="P970">XLOOKUP(O970,Skills[Action],Skills[Icon],"")</f>
        <v/>
      </c>
      <c r="R970" s="5" t="str">
        <f t="array" ref="R970">XLOOKUP(Q970,Skills[Action],Skills[Icon],"")</f>
        <v/>
      </c>
      <c r="T970" s="5" t="str">
        <f t="array" ref="T970">XLOOKUP(S970,Skills[Action],Skills[Icon],"")</f>
        <v/>
      </c>
      <c r="V970" s="5" t="str">
        <f t="array" ref="V970">XLOOKUP(U970,Skills[Action],Skills[Icon],"")</f>
        <v/>
      </c>
    </row>
    <row r="971">
      <c r="C971" s="7">
        <v>0.011215277777777777</v>
      </c>
      <c r="L971" s="5" t="str">
        <f t="array" ref="L971">XLOOKUP(K971,Skills[Action],Skills[Icon],"")</f>
        <v/>
      </c>
      <c r="N971" s="5" t="str">
        <f t="array" ref="N971">XLOOKUP(M971,Skills[Action],Skills[Icon],"")</f>
        <v/>
      </c>
      <c r="P971" s="5" t="str">
        <f t="array" ref="P971">XLOOKUP(O971,Skills[Action],Skills[Icon],"")</f>
        <v/>
      </c>
      <c r="R971" s="5" t="str">
        <f t="array" ref="R971">XLOOKUP(Q971,Skills[Action],Skills[Icon],"")</f>
        <v/>
      </c>
      <c r="T971" s="5" t="str">
        <f t="array" ref="T971">XLOOKUP(S971,Skills[Action],Skills[Icon],"")</f>
        <v/>
      </c>
      <c r="V971" s="5" t="str">
        <f t="array" ref="V971">XLOOKUP(U971,Skills[Action],Skills[Icon],"")</f>
        <v/>
      </c>
    </row>
    <row r="972">
      <c r="C972" s="7">
        <v>0.011226851851851852</v>
      </c>
      <c r="L972" s="5" t="str">
        <f t="array" ref="L972">XLOOKUP(K972,Skills[Action],Skills[Icon],"")</f>
        <v/>
      </c>
      <c r="N972" s="5" t="str">
        <f t="array" ref="N972">XLOOKUP(M972,Skills[Action],Skills[Icon],"")</f>
        <v/>
      </c>
      <c r="P972" s="5" t="str">
        <f t="array" ref="P972">XLOOKUP(O972,Skills[Action],Skills[Icon],"")</f>
        <v/>
      </c>
      <c r="R972" s="5" t="str">
        <f t="array" ref="R972">XLOOKUP(Q972,Skills[Action],Skills[Icon],"")</f>
        <v/>
      </c>
      <c r="T972" s="5" t="str">
        <f t="array" ref="T972">XLOOKUP(S972,Skills[Action],Skills[Icon],"")</f>
        <v/>
      </c>
      <c r="V972" s="5" t="str">
        <f t="array" ref="V972">XLOOKUP(U972,Skills[Action],Skills[Icon],"")</f>
        <v/>
      </c>
    </row>
    <row r="973">
      <c r="C973" s="7">
        <v>0.011238425925925926</v>
      </c>
      <c r="L973" s="5" t="str">
        <f t="array" ref="L973">XLOOKUP(K973,Skills[Action],Skills[Icon],"")</f>
        <v/>
      </c>
      <c r="N973" s="5" t="str">
        <f t="array" ref="N973">XLOOKUP(M973,Skills[Action],Skills[Icon],"")</f>
        <v/>
      </c>
      <c r="P973" s="5" t="str">
        <f t="array" ref="P973">XLOOKUP(O973,Skills[Action],Skills[Icon],"")</f>
        <v/>
      </c>
      <c r="R973" s="5" t="str">
        <f t="array" ref="R973">XLOOKUP(Q973,Skills[Action],Skills[Icon],"")</f>
        <v/>
      </c>
      <c r="T973" s="5" t="str">
        <f t="array" ref="T973">XLOOKUP(S973,Skills[Action],Skills[Icon],"")</f>
        <v/>
      </c>
      <c r="V973" s="5" t="str">
        <f t="array" ref="V973">XLOOKUP(U973,Skills[Action],Skills[Icon],"")</f>
        <v/>
      </c>
    </row>
    <row r="974">
      <c r="C974" s="7">
        <v>0.01125</v>
      </c>
      <c r="L974" s="5" t="str">
        <f t="array" ref="L974">XLOOKUP(K974,Skills[Action],Skills[Icon],"")</f>
        <v/>
      </c>
      <c r="N974" s="5" t="str">
        <f t="array" ref="N974">XLOOKUP(M974,Skills[Action],Skills[Icon],"")</f>
        <v/>
      </c>
      <c r="P974" s="5" t="str">
        <f t="array" ref="P974">XLOOKUP(O974,Skills[Action],Skills[Icon],"")</f>
        <v/>
      </c>
      <c r="R974" s="5" t="str">
        <f t="array" ref="R974">XLOOKUP(Q974,Skills[Action],Skills[Icon],"")</f>
        <v/>
      </c>
      <c r="T974" s="5" t="str">
        <f t="array" ref="T974">XLOOKUP(S974,Skills[Action],Skills[Icon],"")</f>
        <v/>
      </c>
      <c r="V974" s="5" t="str">
        <f t="array" ref="V974">XLOOKUP(U974,Skills[Action],Skills[Icon],"")</f>
        <v/>
      </c>
    </row>
    <row r="975">
      <c r="C975" s="7">
        <v>0.011261574074074075</v>
      </c>
      <c r="L975" s="5" t="str">
        <f t="array" ref="L975">XLOOKUP(K975,Skills[Action],Skills[Icon],"")</f>
        <v/>
      </c>
      <c r="N975" s="5" t="str">
        <f t="array" ref="N975">XLOOKUP(M975,Skills[Action],Skills[Icon],"")</f>
        <v/>
      </c>
      <c r="P975" s="5" t="str">
        <f t="array" ref="P975">XLOOKUP(O975,Skills[Action],Skills[Icon],"")</f>
        <v/>
      </c>
      <c r="R975" s="5" t="str">
        <f t="array" ref="R975">XLOOKUP(Q975,Skills[Action],Skills[Icon],"")</f>
        <v/>
      </c>
      <c r="T975" s="5" t="str">
        <f t="array" ref="T975">XLOOKUP(S975,Skills[Action],Skills[Icon],"")</f>
        <v/>
      </c>
      <c r="V975" s="5" t="str">
        <f t="array" ref="V975">XLOOKUP(U975,Skills[Action],Skills[Icon],"")</f>
        <v/>
      </c>
    </row>
    <row r="976">
      <c r="C976" s="7">
        <v>0.011273148148148148</v>
      </c>
      <c r="L976" s="5" t="str">
        <f t="array" ref="L976">XLOOKUP(K976,Skills[Action],Skills[Icon],"")</f>
        <v/>
      </c>
      <c r="N976" s="5" t="str">
        <f t="array" ref="N976">XLOOKUP(M976,Skills[Action],Skills[Icon],"")</f>
        <v/>
      </c>
      <c r="P976" s="5" t="str">
        <f t="array" ref="P976">XLOOKUP(O976,Skills[Action],Skills[Icon],"")</f>
        <v/>
      </c>
      <c r="R976" s="5" t="str">
        <f t="array" ref="R976">XLOOKUP(Q976,Skills[Action],Skills[Icon],"")</f>
        <v/>
      </c>
      <c r="T976" s="5" t="str">
        <f t="array" ref="T976">XLOOKUP(S976,Skills[Action],Skills[Icon],"")</f>
        <v/>
      </c>
      <c r="V976" s="5" t="str">
        <f t="array" ref="V976">XLOOKUP(U976,Skills[Action],Skills[Icon],"")</f>
        <v/>
      </c>
    </row>
    <row r="977">
      <c r="C977" s="7">
        <v>0.011284722222222222</v>
      </c>
      <c r="L977" s="5" t="str">
        <f t="array" ref="L977">XLOOKUP(K977,Skills[Action],Skills[Icon],"")</f>
        <v/>
      </c>
      <c r="N977" s="5" t="str">
        <f t="array" ref="N977">XLOOKUP(M977,Skills[Action],Skills[Icon],"")</f>
        <v/>
      </c>
      <c r="P977" s="5" t="str">
        <f t="array" ref="P977">XLOOKUP(O977,Skills[Action],Skills[Icon],"")</f>
        <v/>
      </c>
      <c r="R977" s="5" t="str">
        <f t="array" ref="R977">XLOOKUP(Q977,Skills[Action],Skills[Icon],"")</f>
        <v/>
      </c>
      <c r="T977" s="5" t="str">
        <f t="array" ref="T977">XLOOKUP(S977,Skills[Action],Skills[Icon],"")</f>
        <v/>
      </c>
      <c r="V977" s="5" t="str">
        <f t="array" ref="V977">XLOOKUP(U977,Skills[Action],Skills[Icon],"")</f>
        <v/>
      </c>
    </row>
    <row r="978">
      <c r="C978" s="7">
        <v>0.011296296296296296</v>
      </c>
      <c r="L978" s="5" t="str">
        <f t="array" ref="L978">XLOOKUP(K978,Skills[Action],Skills[Icon],"")</f>
        <v/>
      </c>
      <c r="N978" s="5" t="str">
        <f t="array" ref="N978">XLOOKUP(M978,Skills[Action],Skills[Icon],"")</f>
        <v/>
      </c>
      <c r="P978" s="5" t="str">
        <f t="array" ref="P978">XLOOKUP(O978,Skills[Action],Skills[Icon],"")</f>
        <v/>
      </c>
      <c r="R978" s="5" t="str">
        <f t="array" ref="R978">XLOOKUP(Q978,Skills[Action],Skills[Icon],"")</f>
        <v/>
      </c>
      <c r="T978" s="5" t="str">
        <f t="array" ref="T978">XLOOKUP(S978,Skills[Action],Skills[Icon],"")</f>
        <v/>
      </c>
      <c r="V978" s="5" t="str">
        <f t="array" ref="V978">XLOOKUP(U978,Skills[Action],Skills[Icon],"")</f>
        <v/>
      </c>
    </row>
    <row r="979">
      <c r="C979" s="7">
        <v>0.011307870370370371</v>
      </c>
      <c r="L979" s="5" t="str">
        <f t="array" ref="L979">XLOOKUP(K979,Skills[Action],Skills[Icon],"")</f>
        <v/>
      </c>
      <c r="N979" s="5" t="str">
        <f t="array" ref="N979">XLOOKUP(M979,Skills[Action],Skills[Icon],"")</f>
        <v/>
      </c>
      <c r="P979" s="5" t="str">
        <f t="array" ref="P979">XLOOKUP(O979,Skills[Action],Skills[Icon],"")</f>
        <v/>
      </c>
      <c r="R979" s="5" t="str">
        <f t="array" ref="R979">XLOOKUP(Q979,Skills[Action],Skills[Icon],"")</f>
        <v/>
      </c>
      <c r="T979" s="5" t="str">
        <f t="array" ref="T979">XLOOKUP(S979,Skills[Action],Skills[Icon],"")</f>
        <v/>
      </c>
      <c r="V979" s="5" t="str">
        <f t="array" ref="V979">XLOOKUP(U979,Skills[Action],Skills[Icon],"")</f>
        <v/>
      </c>
    </row>
    <row r="980">
      <c r="C980" s="7">
        <v>0.011319444444444444</v>
      </c>
      <c r="L980" s="5" t="str">
        <f t="array" ref="L980">XLOOKUP(K980,Skills[Action],Skills[Icon],"")</f>
        <v/>
      </c>
      <c r="N980" s="5" t="str">
        <f t="array" ref="N980">XLOOKUP(M980,Skills[Action],Skills[Icon],"")</f>
        <v/>
      </c>
      <c r="P980" s="5" t="str">
        <f t="array" ref="P980">XLOOKUP(O980,Skills[Action],Skills[Icon],"")</f>
        <v/>
      </c>
      <c r="R980" s="5" t="str">
        <f t="array" ref="R980">XLOOKUP(Q980,Skills[Action],Skills[Icon],"")</f>
        <v/>
      </c>
      <c r="T980" s="5" t="str">
        <f t="array" ref="T980">XLOOKUP(S980,Skills[Action],Skills[Icon],"")</f>
        <v/>
      </c>
      <c r="V980" s="5" t="str">
        <f t="array" ref="V980">XLOOKUP(U980,Skills[Action],Skills[Icon],"")</f>
        <v/>
      </c>
    </row>
    <row r="981">
      <c r="C981" s="7">
        <v>0.011331018518518518</v>
      </c>
      <c r="L981" s="5" t="str">
        <f t="array" ref="L981">XLOOKUP(K981,Skills[Action],Skills[Icon],"")</f>
        <v/>
      </c>
      <c r="N981" s="5" t="str">
        <f t="array" ref="N981">XLOOKUP(M981,Skills[Action],Skills[Icon],"")</f>
        <v/>
      </c>
      <c r="P981" s="5" t="str">
        <f t="array" ref="P981">XLOOKUP(O981,Skills[Action],Skills[Icon],"")</f>
        <v/>
      </c>
      <c r="R981" s="5" t="str">
        <f t="array" ref="R981">XLOOKUP(Q981,Skills[Action],Skills[Icon],"")</f>
        <v/>
      </c>
      <c r="T981" s="5" t="str">
        <f t="array" ref="T981">XLOOKUP(S981,Skills[Action],Skills[Icon],"")</f>
        <v/>
      </c>
      <c r="V981" s="5" t="str">
        <f t="array" ref="V981">XLOOKUP(U981,Skills[Action],Skills[Icon],"")</f>
        <v/>
      </c>
    </row>
    <row r="982">
      <c r="C982" s="7">
        <v>0.011342592592592593</v>
      </c>
      <c r="L982" s="5" t="str">
        <f t="array" ref="L982">XLOOKUP(K982,Skills[Action],Skills[Icon],"")</f>
        <v/>
      </c>
      <c r="N982" s="5" t="str">
        <f t="array" ref="N982">XLOOKUP(M982,Skills[Action],Skills[Icon],"")</f>
        <v/>
      </c>
      <c r="P982" s="5" t="str">
        <f t="array" ref="P982">XLOOKUP(O982,Skills[Action],Skills[Icon],"")</f>
        <v/>
      </c>
      <c r="R982" s="5" t="str">
        <f t="array" ref="R982">XLOOKUP(Q982,Skills[Action],Skills[Icon],"")</f>
        <v/>
      </c>
      <c r="T982" s="5" t="str">
        <f t="array" ref="T982">XLOOKUP(S982,Skills[Action],Skills[Icon],"")</f>
        <v/>
      </c>
      <c r="V982" s="5" t="str">
        <f t="array" ref="V982">XLOOKUP(U982,Skills[Action],Skills[Icon],"")</f>
        <v/>
      </c>
    </row>
    <row r="983">
      <c r="C983" s="7">
        <v>0.011354166666666667</v>
      </c>
      <c r="L983" s="5" t="str">
        <f t="array" ref="L983">XLOOKUP(K983,Skills[Action],Skills[Icon],"")</f>
        <v/>
      </c>
      <c r="N983" s="5" t="str">
        <f t="array" ref="N983">XLOOKUP(M983,Skills[Action],Skills[Icon],"")</f>
        <v/>
      </c>
      <c r="P983" s="5" t="str">
        <f t="array" ref="P983">XLOOKUP(O983,Skills[Action],Skills[Icon],"")</f>
        <v/>
      </c>
      <c r="R983" s="5" t="str">
        <f t="array" ref="R983">XLOOKUP(Q983,Skills[Action],Skills[Icon],"")</f>
        <v/>
      </c>
      <c r="T983" s="5" t="str">
        <f t="array" ref="T983">XLOOKUP(S983,Skills[Action],Skills[Icon],"")</f>
        <v/>
      </c>
      <c r="V983" s="5" t="str">
        <f t="array" ref="V983">XLOOKUP(U983,Skills[Action],Skills[Icon],"")</f>
        <v/>
      </c>
    </row>
    <row r="984">
      <c r="C984" s="7">
        <v>0.01136574074074074</v>
      </c>
      <c r="L984" s="5" t="str">
        <f t="array" ref="L984">XLOOKUP(K984,Skills[Action],Skills[Icon],"")</f>
        <v/>
      </c>
      <c r="N984" s="5" t="str">
        <f t="array" ref="N984">XLOOKUP(M984,Skills[Action],Skills[Icon],"")</f>
        <v/>
      </c>
      <c r="P984" s="5" t="str">
        <f t="array" ref="P984">XLOOKUP(O984,Skills[Action],Skills[Icon],"")</f>
        <v/>
      </c>
      <c r="R984" s="5" t="str">
        <f t="array" ref="R984">XLOOKUP(Q984,Skills[Action],Skills[Icon],"")</f>
        <v/>
      </c>
      <c r="T984" s="5" t="str">
        <f t="array" ref="T984">XLOOKUP(S984,Skills[Action],Skills[Icon],"")</f>
        <v/>
      </c>
      <c r="V984" s="5" t="str">
        <f t="array" ref="V984">XLOOKUP(U984,Skills[Action],Skills[Icon],"")</f>
        <v/>
      </c>
    </row>
    <row r="985">
      <c r="C985" s="7">
        <v>0.011377314814814814</v>
      </c>
      <c r="L985" s="5" t="str">
        <f t="array" ref="L985">XLOOKUP(K985,Skills[Action],Skills[Icon],"")</f>
        <v/>
      </c>
      <c r="N985" s="5" t="str">
        <f t="array" ref="N985">XLOOKUP(M985,Skills[Action],Skills[Icon],"")</f>
        <v/>
      </c>
      <c r="P985" s="5" t="str">
        <f t="array" ref="P985">XLOOKUP(O985,Skills[Action],Skills[Icon],"")</f>
        <v/>
      </c>
      <c r="R985" s="5" t="str">
        <f t="array" ref="R985">XLOOKUP(Q985,Skills[Action],Skills[Icon],"")</f>
        <v/>
      </c>
      <c r="T985" s="5" t="str">
        <f t="array" ref="T985">XLOOKUP(S985,Skills[Action],Skills[Icon],"")</f>
        <v/>
      </c>
      <c r="V985" s="5" t="str">
        <f t="array" ref="V985">XLOOKUP(U985,Skills[Action],Skills[Icon],"")</f>
        <v/>
      </c>
    </row>
    <row r="986">
      <c r="C986" s="7">
        <v>0.01138888888888889</v>
      </c>
      <c r="L986" s="5" t="str">
        <f t="array" ref="L986">XLOOKUP(K986,Skills[Action],Skills[Icon],"")</f>
        <v/>
      </c>
      <c r="N986" s="5" t="str">
        <f t="array" ref="N986">XLOOKUP(M986,Skills[Action],Skills[Icon],"")</f>
        <v/>
      </c>
      <c r="P986" s="5" t="str">
        <f t="array" ref="P986">XLOOKUP(O986,Skills[Action],Skills[Icon],"")</f>
        <v/>
      </c>
      <c r="R986" s="5" t="str">
        <f t="array" ref="R986">XLOOKUP(Q986,Skills[Action],Skills[Icon],"")</f>
        <v/>
      </c>
      <c r="T986" s="5" t="str">
        <f t="array" ref="T986">XLOOKUP(S986,Skills[Action],Skills[Icon],"")</f>
        <v/>
      </c>
      <c r="V986" s="5" t="str">
        <f t="array" ref="V986">XLOOKUP(U986,Skills[Action],Skills[Icon],"")</f>
        <v/>
      </c>
    </row>
    <row r="987">
      <c r="C987" s="7">
        <v>0.011400462962962963</v>
      </c>
      <c r="L987" s="5" t="str">
        <f t="array" ref="L987">XLOOKUP(K987,Skills[Action],Skills[Icon],"")</f>
        <v/>
      </c>
      <c r="N987" s="5" t="str">
        <f t="array" ref="N987">XLOOKUP(M987,Skills[Action],Skills[Icon],"")</f>
        <v/>
      </c>
      <c r="P987" s="5" t="str">
        <f t="array" ref="P987">XLOOKUP(O987,Skills[Action],Skills[Icon],"")</f>
        <v/>
      </c>
      <c r="R987" s="5" t="str">
        <f t="array" ref="R987">XLOOKUP(Q987,Skills[Action],Skills[Icon],"")</f>
        <v/>
      </c>
      <c r="T987" s="5" t="str">
        <f t="array" ref="T987">XLOOKUP(S987,Skills[Action],Skills[Icon],"")</f>
        <v/>
      </c>
      <c r="V987" s="5" t="str">
        <f t="array" ref="V987">XLOOKUP(U987,Skills[Action],Skills[Icon],"")</f>
        <v/>
      </c>
    </row>
    <row r="988">
      <c r="C988" s="7">
        <v>0.011412037037037037</v>
      </c>
      <c r="L988" s="5" t="str">
        <f t="array" ref="L988">XLOOKUP(K988,Skills[Action],Skills[Icon],"")</f>
        <v/>
      </c>
      <c r="N988" s="5" t="str">
        <f t="array" ref="N988">XLOOKUP(M988,Skills[Action],Skills[Icon],"")</f>
        <v/>
      </c>
      <c r="P988" s="5" t="str">
        <f t="array" ref="P988">XLOOKUP(O988,Skills[Action],Skills[Icon],"")</f>
        <v/>
      </c>
      <c r="R988" s="5" t="str">
        <f t="array" ref="R988">XLOOKUP(Q988,Skills[Action],Skills[Icon],"")</f>
        <v/>
      </c>
      <c r="T988" s="5" t="str">
        <f t="array" ref="T988">XLOOKUP(S988,Skills[Action],Skills[Icon],"")</f>
        <v/>
      </c>
      <c r="V988" s="5" t="str">
        <f t="array" ref="V988">XLOOKUP(U988,Skills[Action],Skills[Icon],"")</f>
        <v/>
      </c>
    </row>
    <row r="989">
      <c r="C989" s="7">
        <v>0.011423611111111112</v>
      </c>
      <c r="L989" s="5" t="str">
        <f t="array" ref="L989">XLOOKUP(K989,Skills[Action],Skills[Icon],"")</f>
        <v/>
      </c>
      <c r="N989" s="5" t="str">
        <f t="array" ref="N989">XLOOKUP(M989,Skills[Action],Skills[Icon],"")</f>
        <v/>
      </c>
      <c r="P989" s="5" t="str">
        <f t="array" ref="P989">XLOOKUP(O989,Skills[Action],Skills[Icon],"")</f>
        <v/>
      </c>
      <c r="R989" s="5" t="str">
        <f t="array" ref="R989">XLOOKUP(Q989,Skills[Action],Skills[Icon],"")</f>
        <v/>
      </c>
      <c r="T989" s="5" t="str">
        <f t="array" ref="T989">XLOOKUP(S989,Skills[Action],Skills[Icon],"")</f>
        <v/>
      </c>
      <c r="V989" s="5" t="str">
        <f t="array" ref="V989">XLOOKUP(U989,Skills[Action],Skills[Icon],"")</f>
        <v/>
      </c>
    </row>
    <row r="990">
      <c r="C990" s="7">
        <v>0.011435185185185185</v>
      </c>
      <c r="L990" s="5" t="str">
        <f t="array" ref="L990">XLOOKUP(K990,Skills[Action],Skills[Icon],"")</f>
        <v/>
      </c>
      <c r="N990" s="5" t="str">
        <f t="array" ref="N990">XLOOKUP(M990,Skills[Action],Skills[Icon],"")</f>
        <v/>
      </c>
      <c r="P990" s="5" t="str">
        <f t="array" ref="P990">XLOOKUP(O990,Skills[Action],Skills[Icon],"")</f>
        <v/>
      </c>
      <c r="R990" s="5" t="str">
        <f t="array" ref="R990">XLOOKUP(Q990,Skills[Action],Skills[Icon],"")</f>
        <v/>
      </c>
      <c r="T990" s="5" t="str">
        <f t="array" ref="T990">XLOOKUP(S990,Skills[Action],Skills[Icon],"")</f>
        <v/>
      </c>
      <c r="V990" s="5" t="str">
        <f t="array" ref="V990">XLOOKUP(U990,Skills[Action],Skills[Icon],"")</f>
        <v/>
      </c>
    </row>
    <row r="991">
      <c r="C991" s="7">
        <v>0.011446759259259259</v>
      </c>
      <c r="L991" s="5" t="str">
        <f t="array" ref="L991">XLOOKUP(K991,Skills[Action],Skills[Icon],"")</f>
        <v/>
      </c>
      <c r="N991" s="5" t="str">
        <f t="array" ref="N991">XLOOKUP(M991,Skills[Action],Skills[Icon],"")</f>
        <v/>
      </c>
      <c r="P991" s="5" t="str">
        <f t="array" ref="P991">XLOOKUP(O991,Skills[Action],Skills[Icon],"")</f>
        <v/>
      </c>
      <c r="R991" s="5" t="str">
        <f t="array" ref="R991">XLOOKUP(Q991,Skills[Action],Skills[Icon],"")</f>
        <v/>
      </c>
      <c r="T991" s="5" t="str">
        <f t="array" ref="T991">XLOOKUP(S991,Skills[Action],Skills[Icon],"")</f>
        <v/>
      </c>
      <c r="V991" s="5" t="str">
        <f t="array" ref="V991">XLOOKUP(U991,Skills[Action],Skills[Icon],"")</f>
        <v/>
      </c>
    </row>
    <row r="992">
      <c r="C992" s="7">
        <v>0.011458333333333333</v>
      </c>
      <c r="L992" s="5" t="str">
        <f t="array" ref="L992">XLOOKUP(K992,Skills[Action],Skills[Icon],"")</f>
        <v/>
      </c>
      <c r="N992" s="5" t="str">
        <f t="array" ref="N992">XLOOKUP(M992,Skills[Action],Skills[Icon],"")</f>
        <v/>
      </c>
      <c r="P992" s="5" t="str">
        <f t="array" ref="P992">XLOOKUP(O992,Skills[Action],Skills[Icon],"")</f>
        <v/>
      </c>
      <c r="R992" s="5" t="str">
        <f t="array" ref="R992">XLOOKUP(Q992,Skills[Action],Skills[Icon],"")</f>
        <v/>
      </c>
      <c r="T992" s="5" t="str">
        <f t="array" ref="T992">XLOOKUP(S992,Skills[Action],Skills[Icon],"")</f>
        <v/>
      </c>
      <c r="V992" s="5" t="str">
        <f t="array" ref="V992">XLOOKUP(U992,Skills[Action],Skills[Icon],"")</f>
        <v/>
      </c>
    </row>
    <row r="993">
      <c r="C993" s="7">
        <v>0.011469907407407408</v>
      </c>
      <c r="L993" s="5" t="str">
        <f t="array" ref="L993">XLOOKUP(K993,Skills[Action],Skills[Icon],"")</f>
        <v/>
      </c>
      <c r="N993" s="5" t="str">
        <f t="array" ref="N993">XLOOKUP(M993,Skills[Action],Skills[Icon],"")</f>
        <v/>
      </c>
      <c r="P993" s="5" t="str">
        <f t="array" ref="P993">XLOOKUP(O993,Skills[Action],Skills[Icon],"")</f>
        <v/>
      </c>
      <c r="R993" s="5" t="str">
        <f t="array" ref="R993">XLOOKUP(Q993,Skills[Action],Skills[Icon],"")</f>
        <v/>
      </c>
      <c r="T993" s="5" t="str">
        <f t="array" ref="T993">XLOOKUP(S993,Skills[Action],Skills[Icon],"")</f>
        <v/>
      </c>
      <c r="V993" s="5" t="str">
        <f t="array" ref="V993">XLOOKUP(U993,Skills[Action],Skills[Icon],"")</f>
        <v/>
      </c>
    </row>
    <row r="994">
      <c r="C994" s="7">
        <v>0.011481481481481481</v>
      </c>
      <c r="L994" s="5" t="str">
        <f t="array" ref="L994">XLOOKUP(K994,Skills[Action],Skills[Icon],"")</f>
        <v/>
      </c>
      <c r="N994" s="5" t="str">
        <f t="array" ref="N994">XLOOKUP(M994,Skills[Action],Skills[Icon],"")</f>
        <v/>
      </c>
      <c r="P994" s="5" t="str">
        <f t="array" ref="P994">XLOOKUP(O994,Skills[Action],Skills[Icon],"")</f>
        <v/>
      </c>
      <c r="R994" s="5" t="str">
        <f t="array" ref="R994">XLOOKUP(Q994,Skills[Action],Skills[Icon],"")</f>
        <v/>
      </c>
      <c r="T994" s="5" t="str">
        <f t="array" ref="T994">XLOOKUP(S994,Skills[Action],Skills[Icon],"")</f>
        <v/>
      </c>
      <c r="V994" s="5" t="str">
        <f t="array" ref="V994">XLOOKUP(U994,Skills[Action],Skills[Icon],"")</f>
        <v/>
      </c>
    </row>
    <row r="995">
      <c r="C995" s="7">
        <v>0.011493055555555555</v>
      </c>
      <c r="L995" s="5" t="str">
        <f t="array" ref="L995">XLOOKUP(K995,Skills[Action],Skills[Icon],"")</f>
        <v/>
      </c>
      <c r="N995" s="5" t="str">
        <f t="array" ref="N995">XLOOKUP(M995,Skills[Action],Skills[Icon],"")</f>
        <v/>
      </c>
      <c r="P995" s="5" t="str">
        <f t="array" ref="P995">XLOOKUP(O995,Skills[Action],Skills[Icon],"")</f>
        <v/>
      </c>
      <c r="R995" s="5" t="str">
        <f t="array" ref="R995">XLOOKUP(Q995,Skills[Action],Skills[Icon],"")</f>
        <v/>
      </c>
      <c r="T995" s="5" t="str">
        <f t="array" ref="T995">XLOOKUP(S995,Skills[Action],Skills[Icon],"")</f>
        <v/>
      </c>
      <c r="V995" s="5" t="str">
        <f t="array" ref="V995">XLOOKUP(U995,Skills[Action],Skills[Icon],"")</f>
        <v/>
      </c>
    </row>
    <row r="996">
      <c r="C996" s="7">
        <v>0.01150462962962963</v>
      </c>
      <c r="L996" s="5" t="str">
        <f t="array" ref="L996">XLOOKUP(K996,Skills[Action],Skills[Icon],"")</f>
        <v/>
      </c>
      <c r="N996" s="5" t="str">
        <f t="array" ref="N996">XLOOKUP(M996,Skills[Action],Skills[Icon],"")</f>
        <v/>
      </c>
      <c r="P996" s="5" t="str">
        <f t="array" ref="P996">XLOOKUP(O996,Skills[Action],Skills[Icon],"")</f>
        <v/>
      </c>
      <c r="R996" s="5" t="str">
        <f t="array" ref="R996">XLOOKUP(Q996,Skills[Action],Skills[Icon],"")</f>
        <v/>
      </c>
      <c r="T996" s="5" t="str">
        <f t="array" ref="T996">XLOOKUP(S996,Skills[Action],Skills[Icon],"")</f>
        <v/>
      </c>
      <c r="V996" s="5" t="str">
        <f t="array" ref="V996">XLOOKUP(U996,Skills[Action],Skills[Icon],"")</f>
        <v/>
      </c>
    </row>
    <row r="997">
      <c r="C997" s="7">
        <v>0.011516203703703704</v>
      </c>
      <c r="L997" s="5" t="str">
        <f t="array" ref="L997">XLOOKUP(K997,Skills[Action],Skills[Icon],"")</f>
        <v/>
      </c>
      <c r="N997" s="5" t="str">
        <f t="array" ref="N997">XLOOKUP(M997,Skills[Action],Skills[Icon],"")</f>
        <v/>
      </c>
      <c r="P997" s="5" t="str">
        <f t="array" ref="P997">XLOOKUP(O997,Skills[Action],Skills[Icon],"")</f>
        <v/>
      </c>
      <c r="R997" s="5" t="str">
        <f t="array" ref="R997">XLOOKUP(Q997,Skills[Action],Skills[Icon],"")</f>
        <v/>
      </c>
      <c r="T997" s="5" t="str">
        <f t="array" ref="T997">XLOOKUP(S997,Skills[Action],Skills[Icon],"")</f>
        <v/>
      </c>
      <c r="V997" s="5" t="str">
        <f t="array" ref="V997">XLOOKUP(U997,Skills[Action],Skills[Icon],"")</f>
        <v/>
      </c>
    </row>
    <row r="998">
      <c r="C998" s="7">
        <v>0.011527777777777777</v>
      </c>
      <c r="L998" s="5" t="str">
        <f t="array" ref="L998">XLOOKUP(K998,Skills[Action],Skills[Icon],"")</f>
        <v/>
      </c>
      <c r="N998" s="5" t="str">
        <f t="array" ref="N998">XLOOKUP(M998,Skills[Action],Skills[Icon],"")</f>
        <v/>
      </c>
      <c r="P998" s="5" t="str">
        <f t="array" ref="P998">XLOOKUP(O998,Skills[Action],Skills[Icon],"")</f>
        <v/>
      </c>
      <c r="R998" s="5" t="str">
        <f t="array" ref="R998">XLOOKUP(Q998,Skills[Action],Skills[Icon],"")</f>
        <v/>
      </c>
      <c r="T998" s="5" t="str">
        <f t="array" ref="T998">XLOOKUP(S998,Skills[Action],Skills[Icon],"")</f>
        <v/>
      </c>
      <c r="V998" s="5" t="str">
        <f t="array" ref="V998">XLOOKUP(U998,Skills[Action],Skills[Icon],"")</f>
        <v/>
      </c>
    </row>
    <row r="999">
      <c r="C999" s="7">
        <v>0.011539351851851851</v>
      </c>
      <c r="L999" s="5" t="str">
        <f t="array" ref="L999">XLOOKUP(K999,Skills[Action],Skills[Icon],"")</f>
        <v/>
      </c>
      <c r="N999" s="5" t="str">
        <f t="array" ref="N999">XLOOKUP(M999,Skills[Action],Skills[Icon],"")</f>
        <v/>
      </c>
      <c r="P999" s="5" t="str">
        <f t="array" ref="P999">XLOOKUP(O999,Skills[Action],Skills[Icon],"")</f>
        <v/>
      </c>
      <c r="R999" s="5" t="str">
        <f t="array" ref="R999">XLOOKUP(Q999,Skills[Action],Skills[Icon],"")</f>
        <v/>
      </c>
      <c r="T999" s="5" t="str">
        <f t="array" ref="T999">XLOOKUP(S999,Skills[Action],Skills[Icon],"")</f>
        <v/>
      </c>
      <c r="V999" s="5" t="str">
        <f t="array" ref="V999">XLOOKUP(U999,Skills[Action],Skills[Icon],"")</f>
        <v/>
      </c>
    </row>
    <row r="1000">
      <c r="C1000" s="7">
        <v>0.011550925925925926</v>
      </c>
      <c r="L1000" s="5" t="str">
        <f t="array" ref="L1000">XLOOKUP(K1000,Skills[Action],Skills[Icon],"")</f>
        <v/>
      </c>
      <c r="N1000" s="5" t="str">
        <f t="array" ref="N1000">XLOOKUP(M1000,Skills[Action],Skills[Icon],"")</f>
        <v/>
      </c>
      <c r="P1000" s="5" t="str">
        <f t="array" ref="P1000">XLOOKUP(O1000,Skills[Action],Skills[Icon],"")</f>
        <v/>
      </c>
      <c r="R1000" s="5" t="str">
        <f t="array" ref="R1000">XLOOKUP(Q1000,Skills[Action],Skills[Icon],"")</f>
        <v/>
      </c>
      <c r="T1000" s="5" t="str">
        <f t="array" ref="T1000">XLOOKUP(S1000,Skills[Action],Skills[Icon],"")</f>
        <v/>
      </c>
      <c r="V1000" s="5" t="str">
        <f t="array" ref="V1000">XLOOKUP(U1000,Skills[Action],Skills[Icon],"")</f>
        <v/>
      </c>
    </row>
    <row r="1001">
      <c r="A1001" s="1" t="s">
        <v>2</v>
      </c>
      <c r="B1001" s="1" t="s">
        <v>148</v>
      </c>
    </row>
    <row r="1002">
      <c r="A1002" s="1" t="s">
        <v>149</v>
      </c>
      <c r="B1002" s="1" t="s">
        <v>150</v>
      </c>
    </row>
    <row r="1003">
      <c r="A1003" s="1" t="s">
        <v>151</v>
      </c>
      <c r="B1003" s="1" t="s">
        <v>152</v>
      </c>
    </row>
    <row r="1004">
      <c r="A1004" s="1" t="s">
        <v>153</v>
      </c>
      <c r="B1004" s="1" t="s">
        <v>150</v>
      </c>
    </row>
    <row r="1005">
      <c r="A1005" s="1" t="s">
        <v>154</v>
      </c>
      <c r="B1005" s="1" t="s">
        <v>155</v>
      </c>
    </row>
    <row r="1006">
      <c r="A1006" s="1" t="s">
        <v>156</v>
      </c>
      <c r="B1006" s="1" t="s">
        <v>150</v>
      </c>
    </row>
    <row r="1007">
      <c r="A1007" s="1" t="s">
        <v>157</v>
      </c>
      <c r="B1007" s="1" t="s">
        <v>158</v>
      </c>
    </row>
    <row r="1008">
      <c r="A1008" s="1" t="s">
        <v>18</v>
      </c>
      <c r="B1008" s="1" t="s">
        <v>159</v>
      </c>
    </row>
    <row r="1009">
      <c r="A1009" s="1" t="s">
        <v>18</v>
      </c>
      <c r="B1009" s="1" t="s">
        <v>160</v>
      </c>
    </row>
    <row r="1010">
      <c r="A1010" s="1" t="s">
        <v>18</v>
      </c>
      <c r="B1010" s="1" t="s">
        <v>161</v>
      </c>
    </row>
    <row r="1011">
      <c r="A1011" s="1" t="s">
        <v>18</v>
      </c>
      <c r="B1011" s="1" t="s">
        <v>162</v>
      </c>
    </row>
    <row r="1012">
      <c r="A1012" s="1" t="s">
        <v>18</v>
      </c>
      <c r="B1012" s="1" t="s">
        <v>163</v>
      </c>
    </row>
    <row r="1013">
      <c r="A1013" s="1" t="s">
        <v>18</v>
      </c>
      <c r="B1013" s="1" t="s">
        <v>164</v>
      </c>
    </row>
    <row r="1014">
      <c r="A1014" s="1" t="s">
        <v>18</v>
      </c>
      <c r="B1014" s="1" t="s">
        <v>165</v>
      </c>
    </row>
    <row r="1015">
      <c r="A1015" s="1" t="s">
        <v>18</v>
      </c>
      <c r="B1015" s="1" t="s">
        <v>166</v>
      </c>
    </row>
    <row r="1016">
      <c r="A1016" s="1" t="s">
        <v>167</v>
      </c>
      <c r="B1016" s="1" t="s">
        <v>168</v>
      </c>
    </row>
    <row r="1017">
      <c r="A1017" s="1" t="s">
        <v>169</v>
      </c>
      <c r="B1017" s="1" t="s">
        <v>170</v>
      </c>
    </row>
    <row r="1018">
      <c r="A1018" s="1" t="s">
        <v>171</v>
      </c>
      <c r="B1018" s="1" t="s">
        <v>172</v>
      </c>
    </row>
    <row r="1019">
      <c r="A1019" s="1" t="s">
        <v>173</v>
      </c>
      <c r="B1019" s="1" t="s">
        <v>174</v>
      </c>
    </row>
    <row r="1020">
      <c r="A1020" s="1" t="s">
        <v>175</v>
      </c>
      <c r="B1020" s="1" t="s">
        <v>176</v>
      </c>
    </row>
    <row r="1021">
      <c r="A1021" s="1" t="s">
        <v>177</v>
      </c>
      <c r="B1021" s="1" t="s">
        <v>178</v>
      </c>
    </row>
    <row r="1022">
      <c r="A1022" s="1" t="s">
        <v>179</v>
      </c>
      <c r="B1022" s="1" t="s">
        <v>180</v>
      </c>
    </row>
    <row r="1023">
      <c r="A1023" s="1" t="s">
        <v>181</v>
      </c>
      <c r="B1023" s="1" t="s">
        <v>182</v>
      </c>
    </row>
    <row r="1024">
      <c r="A1024" s="1" t="s">
        <v>183</v>
      </c>
      <c r="B1024" s="1" t="s">
        <v>184</v>
      </c>
    </row>
    <row r="1025">
      <c r="A1025" s="1" t="s">
        <v>185</v>
      </c>
      <c r="B1025" s="1" t="s">
        <v>186</v>
      </c>
    </row>
    <row r="1026">
      <c r="A1026" s="1" t="s">
        <v>187</v>
      </c>
      <c r="B1026" s="1" t="s">
        <v>188</v>
      </c>
    </row>
    <row r="1027">
      <c r="A1027" s="1" t="s">
        <v>189</v>
      </c>
      <c r="B1027" s="1" t="s">
        <v>190</v>
      </c>
    </row>
    <row r="1028">
      <c r="A1028" s="1" t="s">
        <v>191</v>
      </c>
      <c r="B1028" s="1" t="s">
        <v>192</v>
      </c>
    </row>
    <row r="1029">
      <c r="A1029" s="1" t="s">
        <v>193</v>
      </c>
      <c r="B1029" s="1" t="s">
        <v>194</v>
      </c>
    </row>
    <row r="1030">
      <c r="A1030" s="1" t="s">
        <v>195</v>
      </c>
      <c r="B1030" s="1" t="s">
        <v>196</v>
      </c>
    </row>
    <row r="1031">
      <c r="A1031" s="1" t="s">
        <v>197</v>
      </c>
      <c r="B1031" s="1" t="s">
        <v>198</v>
      </c>
    </row>
    <row r="1032">
      <c r="A1032" s="1" t="s">
        <v>199</v>
      </c>
      <c r="B1032" s="1" t="s">
        <v>200</v>
      </c>
    </row>
    <row r="1033">
      <c r="A1033" s="1" t="s">
        <v>201</v>
      </c>
      <c r="B1033" s="1" t="s">
        <v>202</v>
      </c>
    </row>
    <row r="1034">
      <c r="A1034" s="1" t="s">
        <v>203</v>
      </c>
      <c r="B1034" s="1" t="s">
        <v>204</v>
      </c>
    </row>
    <row r="1035">
      <c r="A1035" s="1" t="s">
        <v>205</v>
      </c>
      <c r="B1035" s="1" t="s">
        <v>206</v>
      </c>
    </row>
    <row r="1036">
      <c r="A1036" s="1" t="s">
        <v>207</v>
      </c>
      <c r="B1036" s="1" t="s">
        <v>208</v>
      </c>
    </row>
    <row r="1037">
      <c r="A1037" s="1" t="s">
        <v>209</v>
      </c>
      <c r="B1037" s="1" t="s">
        <v>210</v>
      </c>
    </row>
    <row r="1038">
      <c r="A1038" s="1" t="s">
        <v>211</v>
      </c>
      <c r="B1038" s="1" t="s">
        <v>212</v>
      </c>
    </row>
    <row r="1039">
      <c r="A1039" s="1" t="s">
        <v>211</v>
      </c>
      <c r="B1039" s="1" t="s">
        <v>213</v>
      </c>
    </row>
    <row r="1040">
      <c r="A1040" s="1" t="s">
        <v>214</v>
      </c>
      <c r="B1040" s="1" t="s">
        <v>215</v>
      </c>
    </row>
    <row r="1041">
      <c r="A1041" s="1" t="s">
        <v>25</v>
      </c>
      <c r="B1041" s="1" t="s">
        <v>216</v>
      </c>
    </row>
    <row r="1042">
      <c r="A1042" s="1" t="s">
        <v>217</v>
      </c>
      <c r="B1042" s="1" t="s">
        <v>218</v>
      </c>
    </row>
    <row r="1043">
      <c r="A1043" s="1" t="s">
        <v>217</v>
      </c>
      <c r="B1043" s="1" t="s">
        <v>219</v>
      </c>
    </row>
    <row r="1044">
      <c r="A1044" s="1" t="s">
        <v>217</v>
      </c>
      <c r="B1044" s="1" t="s">
        <v>220</v>
      </c>
    </row>
    <row r="1045">
      <c r="A1045" s="1" t="s">
        <v>217</v>
      </c>
      <c r="B1045" s="1" t="s">
        <v>221</v>
      </c>
    </row>
    <row r="1046">
      <c r="A1046" s="1" t="s">
        <v>222</v>
      </c>
      <c r="B1046" s="1" t="s">
        <v>223</v>
      </c>
    </row>
    <row r="1047">
      <c r="A1047" s="1" t="s">
        <v>222</v>
      </c>
      <c r="B1047" s="1" t="s">
        <v>224</v>
      </c>
    </row>
    <row r="1048">
      <c r="A1048" s="1" t="s">
        <v>225</v>
      </c>
      <c r="B1048" s="1" t="s">
        <v>226</v>
      </c>
    </row>
    <row r="1049">
      <c r="A1049" s="1" t="s">
        <v>225</v>
      </c>
      <c r="B1049" s="1" t="s">
        <v>227</v>
      </c>
    </row>
    <row r="1050">
      <c r="A1050" s="1" t="s">
        <v>228</v>
      </c>
      <c r="B1050" s="1" t="s">
        <v>229</v>
      </c>
    </row>
    <row r="1051">
      <c r="A1051" s="1" t="s">
        <v>230</v>
      </c>
      <c r="B1051" s="1" t="s">
        <v>231</v>
      </c>
    </row>
    <row r="1052">
      <c r="A1052" s="1" t="s">
        <v>232</v>
      </c>
      <c r="B1052" s="1" t="s">
        <v>233</v>
      </c>
    </row>
    <row r="1053">
      <c r="A1053" s="1" t="s">
        <v>234</v>
      </c>
      <c r="B1053" s="1" t="s">
        <v>235</v>
      </c>
    </row>
    <row r="1054">
      <c r="A1054" s="1" t="s">
        <v>236</v>
      </c>
      <c r="B1054" s="1" t="s">
        <v>237</v>
      </c>
    </row>
    <row r="1055">
      <c r="A1055" s="1" t="s">
        <v>238</v>
      </c>
      <c r="B1055" s="1" t="s">
        <v>239</v>
      </c>
    </row>
    <row r="1056">
      <c r="A1056" s="1" t="s">
        <v>240</v>
      </c>
      <c r="B1056" s="1" t="s">
        <v>241</v>
      </c>
    </row>
    <row r="1057">
      <c r="A1057" s="1" t="s">
        <v>242</v>
      </c>
      <c r="B1057" s="1" t="s">
        <v>243</v>
      </c>
    </row>
    <row r="1058">
      <c r="A1058" s="1" t="s">
        <v>244</v>
      </c>
      <c r="B1058" s="1" t="s">
        <v>245</v>
      </c>
    </row>
    <row r="1059">
      <c r="A1059" s="1" t="s">
        <v>246</v>
      </c>
      <c r="B1059" s="1" t="s">
        <v>247</v>
      </c>
    </row>
    <row r="1060">
      <c r="A1060" s="1" t="s">
        <v>248</v>
      </c>
      <c r="B1060" s="1" t="s">
        <v>249</v>
      </c>
    </row>
    <row r="1061">
      <c r="A1061" s="1" t="s">
        <v>248</v>
      </c>
      <c r="B1061" s="1" t="s">
        <v>250</v>
      </c>
    </row>
    <row r="1062">
      <c r="A1062" s="1" t="s">
        <v>248</v>
      </c>
      <c r="B1062" s="1" t="s">
        <v>251</v>
      </c>
    </row>
    <row r="1063">
      <c r="A1063" s="1" t="s">
        <v>248</v>
      </c>
      <c r="B1063" s="1" t="s">
        <v>252</v>
      </c>
    </row>
    <row r="1064">
      <c r="A1064" s="1" t="s">
        <v>253</v>
      </c>
      <c r="B1064" s="1" t="s">
        <v>254</v>
      </c>
    </row>
    <row r="1065">
      <c r="A1065" s="1" t="s">
        <v>253</v>
      </c>
      <c r="B1065" s="1" t="s">
        <v>255</v>
      </c>
    </row>
    <row r="1066">
      <c r="A1066" s="1" t="s">
        <v>256</v>
      </c>
      <c r="B1066" s="1" t="s">
        <v>257</v>
      </c>
    </row>
    <row r="1067">
      <c r="A1067" s="1" t="s">
        <v>256</v>
      </c>
      <c r="B1067" s="1" t="s">
        <v>258</v>
      </c>
    </row>
    <row r="1068">
      <c r="A1068" s="1" t="s">
        <v>259</v>
      </c>
      <c r="B1068" s="1" t="s">
        <v>260</v>
      </c>
    </row>
    <row r="1069">
      <c r="A1069" s="1" t="s">
        <v>261</v>
      </c>
      <c r="B1069" s="1" t="s">
        <v>262</v>
      </c>
    </row>
    <row r="1070">
      <c r="A1070" s="1" t="s">
        <v>261</v>
      </c>
      <c r="B1070" s="1" t="s">
        <v>263</v>
      </c>
    </row>
    <row r="1071">
      <c r="A1071" s="1" t="s">
        <v>261</v>
      </c>
      <c r="B1071" s="1" t="s">
        <v>264</v>
      </c>
    </row>
    <row r="1072">
      <c r="A1072" s="1" t="s">
        <v>261</v>
      </c>
      <c r="B1072" s="1" t="s">
        <v>265</v>
      </c>
    </row>
    <row r="1073">
      <c r="A1073" s="1" t="s">
        <v>266</v>
      </c>
      <c r="B1073" s="1" t="s">
        <v>267</v>
      </c>
    </row>
    <row r="1074">
      <c r="A1074" s="1" t="s">
        <v>266</v>
      </c>
      <c r="B1074" s="1" t="s">
        <v>268</v>
      </c>
    </row>
    <row r="1075">
      <c r="A1075" s="1" t="s">
        <v>266</v>
      </c>
      <c r="B1075" s="1" t="s">
        <v>269</v>
      </c>
    </row>
    <row r="1076">
      <c r="A1076" s="1" t="s">
        <v>266</v>
      </c>
      <c r="B1076" s="1" t="s">
        <v>270</v>
      </c>
    </row>
    <row r="1077">
      <c r="A1077" s="1" t="s">
        <v>266</v>
      </c>
      <c r="B1077" s="1" t="s">
        <v>271</v>
      </c>
    </row>
    <row r="1078">
      <c r="A1078" s="1" t="s">
        <v>31</v>
      </c>
      <c r="B1078" s="1" t="s">
        <v>272</v>
      </c>
    </row>
    <row r="1079">
      <c r="A1079" s="1" t="s">
        <v>273</v>
      </c>
      <c r="B1079" s="1" t="s">
        <v>274</v>
      </c>
    </row>
    <row r="1080">
      <c r="A1080" s="1" t="s">
        <v>275</v>
      </c>
      <c r="B1080" s="1" t="s">
        <v>276</v>
      </c>
    </row>
    <row r="1081">
      <c r="A1081" s="1" t="s">
        <v>275</v>
      </c>
      <c r="B1081" s="1" t="s">
        <v>277</v>
      </c>
    </row>
    <row r="1082">
      <c r="A1082" s="1" t="s">
        <v>278</v>
      </c>
      <c r="B1082" s="1" t="s">
        <v>279</v>
      </c>
    </row>
    <row r="1083">
      <c r="A1083" s="1" t="s">
        <v>278</v>
      </c>
      <c r="B1083" s="1" t="s">
        <v>280</v>
      </c>
    </row>
    <row r="1084">
      <c r="A1084" s="1" t="s">
        <v>281</v>
      </c>
      <c r="B1084" s="1" t="s">
        <v>150</v>
      </c>
    </row>
    <row r="1085">
      <c r="A1085" s="1" t="s">
        <v>282</v>
      </c>
      <c r="B1085" s="1" t="s">
        <v>283</v>
      </c>
    </row>
    <row r="1086">
      <c r="A1086" s="1" t="s">
        <v>284</v>
      </c>
      <c r="B1086" s="1" t="s">
        <v>150</v>
      </c>
    </row>
    <row r="1087">
      <c r="A1087" s="1" t="s">
        <v>285</v>
      </c>
      <c r="B1087" s="1" t="s">
        <v>283</v>
      </c>
    </row>
    <row r="1088">
      <c r="A1088" s="1" t="s">
        <v>286</v>
      </c>
      <c r="B1088" s="1" t="s">
        <v>150</v>
      </c>
    </row>
    <row r="1089">
      <c r="A1089" s="1" t="s">
        <v>287</v>
      </c>
      <c r="B1089" s="1" t="s">
        <v>283</v>
      </c>
    </row>
    <row r="1090">
      <c r="A1090" s="1" t="s">
        <v>288</v>
      </c>
      <c r="B1090" s="1" t="s">
        <v>289</v>
      </c>
    </row>
    <row r="1091">
      <c r="A1091" s="1" t="s">
        <v>290</v>
      </c>
      <c r="B1091" s="1" t="s">
        <v>291</v>
      </c>
    </row>
    <row r="1092">
      <c r="A1092" s="1" t="s">
        <v>292</v>
      </c>
      <c r="B1092" s="1" t="s">
        <v>293</v>
      </c>
    </row>
    <row r="1093">
      <c r="A1093" s="1" t="s">
        <v>294</v>
      </c>
      <c r="B1093" s="1" t="s">
        <v>295</v>
      </c>
    </row>
    <row r="1094">
      <c r="A1094" s="1" t="s">
        <v>296</v>
      </c>
      <c r="B1094" s="1" t="s">
        <v>150</v>
      </c>
    </row>
    <row r="1095">
      <c r="A1095" s="1" t="s">
        <v>297</v>
      </c>
      <c r="B1095" s="1" t="s">
        <v>283</v>
      </c>
    </row>
    <row r="1096">
      <c r="A1096" s="1" t="s">
        <v>298</v>
      </c>
      <c r="B1096" s="1" t="s">
        <v>299</v>
      </c>
    </row>
    <row r="1097">
      <c r="A1097" s="1" t="s">
        <v>300</v>
      </c>
      <c r="B1097" s="1" t="s">
        <v>301</v>
      </c>
    </row>
    <row r="1098">
      <c r="A1098" s="1" t="s">
        <v>302</v>
      </c>
      <c r="B1098" s="1" t="s">
        <v>303</v>
      </c>
    </row>
    <row r="1099">
      <c r="A1099" s="1" t="s">
        <v>304</v>
      </c>
      <c r="B1099" s="1" t="s">
        <v>305</v>
      </c>
    </row>
    <row r="1100">
      <c r="A1100" s="1" t="s">
        <v>306</v>
      </c>
      <c r="B1100" s="1" t="s">
        <v>150</v>
      </c>
    </row>
    <row r="1101">
      <c r="A1101" s="1" t="s">
        <v>307</v>
      </c>
      <c r="B1101" s="1" t="s">
        <v>308</v>
      </c>
    </row>
    <row r="1102">
      <c r="A1102" s="1" t="s">
        <v>309</v>
      </c>
      <c r="B1102" s="1" t="s">
        <v>310</v>
      </c>
    </row>
    <row r="1103">
      <c r="A1103" s="1" t="s">
        <v>311</v>
      </c>
      <c r="B1103" s="1" t="s">
        <v>312</v>
      </c>
    </row>
    <row r="1104">
      <c r="A1104" s="1" t="s">
        <v>313</v>
      </c>
      <c r="B1104" s="1" t="s">
        <v>314</v>
      </c>
    </row>
    <row r="1105">
      <c r="A1105" s="1" t="s">
        <v>315</v>
      </c>
      <c r="B1105" s="1" t="s">
        <v>316</v>
      </c>
    </row>
    <row r="1106">
      <c r="A1106" s="1" t="s">
        <v>317</v>
      </c>
      <c r="B1106" s="1" t="s">
        <v>318</v>
      </c>
    </row>
    <row r="1107">
      <c r="A1107" s="1" t="s">
        <v>319</v>
      </c>
      <c r="B1107" s="1" t="s">
        <v>320</v>
      </c>
    </row>
    <row r="1108">
      <c r="A1108" s="1" t="s">
        <v>42</v>
      </c>
      <c r="B1108" s="1" t="s">
        <v>321</v>
      </c>
    </row>
    <row r="1109">
      <c r="A1109" s="1" t="s">
        <v>322</v>
      </c>
      <c r="B1109" s="1" t="s">
        <v>323</v>
      </c>
    </row>
    <row r="1110">
      <c r="A1110" s="1" t="s">
        <v>324</v>
      </c>
      <c r="B1110" s="1" t="s">
        <v>325</v>
      </c>
    </row>
    <row r="1111">
      <c r="A1111" s="1" t="s">
        <v>324</v>
      </c>
      <c r="B1111" s="1" t="s">
        <v>326</v>
      </c>
    </row>
    <row r="1112">
      <c r="A1112" s="1" t="s">
        <v>324</v>
      </c>
      <c r="B1112" s="1" t="s">
        <v>327</v>
      </c>
    </row>
    <row r="1113">
      <c r="A1113" s="1" t="s">
        <v>328</v>
      </c>
      <c r="B1113" s="1" t="s">
        <v>329</v>
      </c>
    </row>
    <row r="1114">
      <c r="A1114" s="1" t="s">
        <v>328</v>
      </c>
      <c r="B1114" s="1" t="s">
        <v>330</v>
      </c>
    </row>
    <row r="1115">
      <c r="A1115" s="1" t="s">
        <v>331</v>
      </c>
      <c r="B1115" s="1" t="s">
        <v>332</v>
      </c>
    </row>
    <row r="1116">
      <c r="A1116" s="1" t="s">
        <v>333</v>
      </c>
      <c r="B1116" s="1" t="s">
        <v>334</v>
      </c>
    </row>
    <row r="1117">
      <c r="A1117" s="1" t="s">
        <v>333</v>
      </c>
      <c r="B1117" s="1" t="s">
        <v>335</v>
      </c>
    </row>
    <row r="1118">
      <c r="A1118" s="1" t="s">
        <v>333</v>
      </c>
      <c r="B1118" s="1" t="s">
        <v>336</v>
      </c>
    </row>
    <row r="1119">
      <c r="A1119" s="1" t="s">
        <v>333</v>
      </c>
      <c r="B1119" s="1" t="s">
        <v>337</v>
      </c>
    </row>
    <row r="1120">
      <c r="A1120" s="1" t="s">
        <v>338</v>
      </c>
      <c r="B1120" s="1" t="s">
        <v>339</v>
      </c>
    </row>
    <row r="1121">
      <c r="A1121" s="1" t="s">
        <v>338</v>
      </c>
      <c r="B1121" s="1" t="s">
        <v>340</v>
      </c>
    </row>
    <row r="1122">
      <c r="A1122" s="1" t="s">
        <v>338</v>
      </c>
      <c r="B1122" s="1" t="s">
        <v>341</v>
      </c>
    </row>
    <row r="1123">
      <c r="A1123" s="1" t="s">
        <v>342</v>
      </c>
      <c r="B1123" s="1" t="s">
        <v>343</v>
      </c>
    </row>
    <row r="1124">
      <c r="A1124" s="1" t="s">
        <v>342</v>
      </c>
      <c r="B1124" s="1" t="s">
        <v>344</v>
      </c>
    </row>
    <row r="1125">
      <c r="A1125" s="1" t="s">
        <v>342</v>
      </c>
      <c r="B1125" s="1" t="s">
        <v>345</v>
      </c>
    </row>
    <row r="1126">
      <c r="A1126" s="1" t="s">
        <v>346</v>
      </c>
      <c r="B1126" s="1" t="s">
        <v>347</v>
      </c>
    </row>
    <row r="1127">
      <c r="A1127" s="1" t="s">
        <v>348</v>
      </c>
      <c r="B1127" s="1" t="s">
        <v>349</v>
      </c>
    </row>
    <row r="1128">
      <c r="A1128" s="1" t="s">
        <v>350</v>
      </c>
      <c r="B1128" s="1" t="s">
        <v>351</v>
      </c>
    </row>
    <row r="1129">
      <c r="A1129" s="1" t="s">
        <v>352</v>
      </c>
      <c r="B1129" s="1" t="s">
        <v>353</v>
      </c>
    </row>
    <row r="1130">
      <c r="A1130" s="1" t="s">
        <v>354</v>
      </c>
      <c r="B1130" s="1" t="s">
        <v>355</v>
      </c>
    </row>
    <row r="1131">
      <c r="A1131" s="1" t="s">
        <v>354</v>
      </c>
      <c r="B1131" s="1" t="s">
        <v>356</v>
      </c>
    </row>
    <row r="1132">
      <c r="A1132" s="1" t="s">
        <v>354</v>
      </c>
      <c r="B1132" s="1" t="s">
        <v>357</v>
      </c>
    </row>
    <row r="1133">
      <c r="A1133" s="1" t="s">
        <v>354</v>
      </c>
      <c r="B1133" s="1" t="s">
        <v>358</v>
      </c>
    </row>
    <row r="1134">
      <c r="A1134" s="1" t="s">
        <v>354</v>
      </c>
      <c r="B1134" s="1" t="s">
        <v>359</v>
      </c>
    </row>
    <row r="1135">
      <c r="A1135" s="1" t="s">
        <v>354</v>
      </c>
      <c r="B1135" s="1" t="s">
        <v>360</v>
      </c>
    </row>
    <row r="1136">
      <c r="A1136" s="1" t="s">
        <v>354</v>
      </c>
      <c r="B1136" s="1" t="s">
        <v>361</v>
      </c>
    </row>
    <row r="1137">
      <c r="A1137" s="1" t="s">
        <v>354</v>
      </c>
      <c r="B1137" s="1" t="s">
        <v>362</v>
      </c>
    </row>
    <row r="1138">
      <c r="A1138" s="1" t="s">
        <v>363</v>
      </c>
      <c r="B1138" s="1" t="s">
        <v>364</v>
      </c>
    </row>
    <row r="1139">
      <c r="A1139" s="1" t="s">
        <v>363</v>
      </c>
      <c r="B1139" s="1" t="s">
        <v>365</v>
      </c>
    </row>
    <row r="1140">
      <c r="A1140" s="1" t="s">
        <v>366</v>
      </c>
      <c r="B1140" s="1" t="s">
        <v>367</v>
      </c>
    </row>
    <row r="1141">
      <c r="A1141" s="1" t="s">
        <v>366</v>
      </c>
      <c r="B1141" s="1" t="s">
        <v>368</v>
      </c>
    </row>
    <row r="1142">
      <c r="A1142" s="1" t="s">
        <v>369</v>
      </c>
      <c r="B1142" s="1" t="s">
        <v>370</v>
      </c>
    </row>
    <row r="1143">
      <c r="A1143" s="1" t="s">
        <v>369</v>
      </c>
      <c r="B1143" s="1" t="s">
        <v>371</v>
      </c>
    </row>
    <row r="1144">
      <c r="A1144" s="1" t="s">
        <v>372</v>
      </c>
      <c r="B1144" s="1" t="s">
        <v>373</v>
      </c>
    </row>
    <row r="1145">
      <c r="A1145" s="1" t="s">
        <v>372</v>
      </c>
      <c r="B1145" s="1" t="s">
        <v>374</v>
      </c>
    </row>
    <row r="1146">
      <c r="A1146" s="1" t="s">
        <v>375</v>
      </c>
      <c r="B1146" s="1" t="s">
        <v>376</v>
      </c>
    </row>
    <row r="1147">
      <c r="A1147" s="1" t="s">
        <v>377</v>
      </c>
      <c r="B1147" s="1" t="s">
        <v>378</v>
      </c>
    </row>
    <row r="1148">
      <c r="A1148" s="1" t="s">
        <v>379</v>
      </c>
      <c r="B1148" s="1" t="s">
        <v>380</v>
      </c>
    </row>
    <row r="1149">
      <c r="A1149" s="1" t="s">
        <v>381</v>
      </c>
      <c r="B1149" s="1" t="s">
        <v>382</v>
      </c>
    </row>
    <row r="1150">
      <c r="A1150" s="1" t="s">
        <v>383</v>
      </c>
      <c r="B1150" s="1" t="s">
        <v>384</v>
      </c>
    </row>
    <row r="1151">
      <c r="A1151" s="1" t="s">
        <v>383</v>
      </c>
      <c r="B1151" s="1" t="s">
        <v>385</v>
      </c>
    </row>
    <row r="1152">
      <c r="A1152" s="1" t="s">
        <v>383</v>
      </c>
      <c r="B1152" s="1" t="s">
        <v>386</v>
      </c>
    </row>
    <row r="1153">
      <c r="A1153" s="1" t="s">
        <v>383</v>
      </c>
      <c r="B1153" s="1" t="s">
        <v>387</v>
      </c>
    </row>
    <row r="1154">
      <c r="A1154" s="1" t="s">
        <v>388</v>
      </c>
      <c r="B1154" s="1" t="s">
        <v>389</v>
      </c>
    </row>
    <row r="1155">
      <c r="A1155" s="1" t="s">
        <v>388</v>
      </c>
      <c r="B1155" s="1" t="s">
        <v>390</v>
      </c>
    </row>
    <row r="1156">
      <c r="A1156" s="1" t="s">
        <v>391</v>
      </c>
      <c r="B1156" s="1" t="s">
        <v>392</v>
      </c>
    </row>
    <row r="1157">
      <c r="A1157" s="1" t="s">
        <v>391</v>
      </c>
      <c r="B1157" s="1" t="s">
        <v>393</v>
      </c>
    </row>
    <row r="1158">
      <c r="A1158" s="1" t="s">
        <v>394</v>
      </c>
      <c r="B1158" s="1" t="s">
        <v>395</v>
      </c>
    </row>
    <row r="1159">
      <c r="A1159" s="1" t="s">
        <v>396</v>
      </c>
      <c r="B1159" s="1" t="s">
        <v>397</v>
      </c>
    </row>
    <row r="1160">
      <c r="A1160" s="1" t="s">
        <v>398</v>
      </c>
      <c r="B1160" s="1" t="s">
        <v>399</v>
      </c>
    </row>
    <row r="1161">
      <c r="A1161" s="1" t="s">
        <v>398</v>
      </c>
      <c r="B1161" s="1" t="s">
        <v>400</v>
      </c>
    </row>
    <row r="1162">
      <c r="A1162" s="1" t="s">
        <v>398</v>
      </c>
      <c r="B1162" s="1" t="s">
        <v>401</v>
      </c>
    </row>
    <row r="1163">
      <c r="A1163" s="1" t="s">
        <v>398</v>
      </c>
      <c r="B1163" s="1" t="s">
        <v>402</v>
      </c>
    </row>
    <row r="1164">
      <c r="A1164" s="1" t="s">
        <v>403</v>
      </c>
      <c r="B1164" s="1" t="s">
        <v>404</v>
      </c>
    </row>
    <row r="1165">
      <c r="A1165" s="1" t="s">
        <v>405</v>
      </c>
      <c r="B1165" s="1" t="s">
        <v>406</v>
      </c>
    </row>
    <row r="1166">
      <c r="A1166" s="1" t="s">
        <v>407</v>
      </c>
      <c r="B1166" s="1" t="s">
        <v>408</v>
      </c>
    </row>
    <row r="1167">
      <c r="A1167" s="1" t="s">
        <v>409</v>
      </c>
      <c r="B1167" s="1" t="s">
        <v>410</v>
      </c>
    </row>
    <row r="1168">
      <c r="A1168" s="1" t="s">
        <v>411</v>
      </c>
      <c r="B1168" s="1" t="s">
        <v>412</v>
      </c>
    </row>
    <row r="1169">
      <c r="A1169" s="1" t="s">
        <v>413</v>
      </c>
      <c r="B1169" s="1" t="s">
        <v>414</v>
      </c>
    </row>
    <row r="1170">
      <c r="A1170" s="1" t="s">
        <v>415</v>
      </c>
      <c r="B1170" s="1" t="s">
        <v>416</v>
      </c>
    </row>
    <row r="1171">
      <c r="A1171" s="1" t="s">
        <v>417</v>
      </c>
      <c r="B1171" s="1" t="s">
        <v>418</v>
      </c>
    </row>
    <row r="1172">
      <c r="A1172" s="1" t="s">
        <v>417</v>
      </c>
      <c r="B1172" s="1" t="s">
        <v>419</v>
      </c>
    </row>
    <row r="1173">
      <c r="A1173" s="1" t="s">
        <v>417</v>
      </c>
      <c r="B1173" s="1" t="s">
        <v>420</v>
      </c>
    </row>
    <row r="1174">
      <c r="A1174" s="1" t="s">
        <v>421</v>
      </c>
      <c r="B1174" s="1" t="s">
        <v>422</v>
      </c>
    </row>
    <row r="1175">
      <c r="A1175" s="1" t="s">
        <v>423</v>
      </c>
      <c r="B1175" s="1" t="s">
        <v>424</v>
      </c>
    </row>
    <row r="1176">
      <c r="A1176" s="1" t="s">
        <v>425</v>
      </c>
      <c r="B1176" s="1" t="s">
        <v>426</v>
      </c>
    </row>
    <row r="1177">
      <c r="A1177" s="1" t="s">
        <v>425</v>
      </c>
      <c r="B1177" s="1" t="s">
        <v>427</v>
      </c>
    </row>
    <row r="1178">
      <c r="A1178" s="1" t="s">
        <v>425</v>
      </c>
      <c r="B1178" s="1" t="s">
        <v>428</v>
      </c>
    </row>
    <row r="1179">
      <c r="A1179" s="1" t="s">
        <v>425</v>
      </c>
      <c r="B1179" s="1" t="s">
        <v>429</v>
      </c>
    </row>
    <row r="1180">
      <c r="A1180" s="1" t="s">
        <v>430</v>
      </c>
      <c r="B1180" s="1" t="s">
        <v>431</v>
      </c>
    </row>
    <row r="1181">
      <c r="A1181" s="1" t="s">
        <v>432</v>
      </c>
      <c r="B1181" s="1" t="s">
        <v>433</v>
      </c>
    </row>
    <row r="1182">
      <c r="A1182" s="1" t="s">
        <v>434</v>
      </c>
      <c r="B1182" s="1" t="s">
        <v>435</v>
      </c>
    </row>
    <row r="1183">
      <c r="A1183" s="1" t="s">
        <v>434</v>
      </c>
      <c r="B1183" s="1" t="s">
        <v>436</v>
      </c>
    </row>
    <row r="1184">
      <c r="A1184" s="1" t="s">
        <v>434</v>
      </c>
      <c r="B1184" s="1" t="s">
        <v>437</v>
      </c>
    </row>
    <row r="1185">
      <c r="A1185" s="1" t="s">
        <v>434</v>
      </c>
      <c r="B1185" s="1" t="s">
        <v>438</v>
      </c>
    </row>
    <row r="1186">
      <c r="A1186" s="1" t="s">
        <v>439</v>
      </c>
      <c r="B1186" s="1" t="s">
        <v>440</v>
      </c>
    </row>
    <row r="1187">
      <c r="A1187" s="1" t="s">
        <v>441</v>
      </c>
      <c r="B1187" s="1" t="s">
        <v>442</v>
      </c>
    </row>
    <row r="1188">
      <c r="A1188" s="1" t="s">
        <v>443</v>
      </c>
      <c r="B1188" s="1" t="s">
        <v>444</v>
      </c>
    </row>
    <row r="1189">
      <c r="A1189" s="1" t="s">
        <v>445</v>
      </c>
      <c r="B1189" s="1" t="s">
        <v>446</v>
      </c>
    </row>
    <row r="1190">
      <c r="A1190" s="1" t="s">
        <v>447</v>
      </c>
      <c r="B1190" s="1" t="s">
        <v>448</v>
      </c>
    </row>
    <row r="1191">
      <c r="A1191" s="1" t="s">
        <v>449</v>
      </c>
      <c r="B1191" s="1" t="s">
        <v>450</v>
      </c>
    </row>
    <row r="1192">
      <c r="A1192" s="1" t="s">
        <v>451</v>
      </c>
      <c r="B1192" s="1" t="s">
        <v>452</v>
      </c>
    </row>
    <row r="1193">
      <c r="A1193" s="1" t="s">
        <v>453</v>
      </c>
      <c r="B1193" s="1" t="s">
        <v>454</v>
      </c>
    </row>
    <row r="1194">
      <c r="A1194" s="1" t="s">
        <v>455</v>
      </c>
      <c r="B1194" s="1" t="s">
        <v>456</v>
      </c>
    </row>
    <row r="1195">
      <c r="A1195" s="1" t="s">
        <v>457</v>
      </c>
      <c r="B1195" s="1" t="s">
        <v>458</v>
      </c>
    </row>
    <row r="1196">
      <c r="A1196" s="1" t="s">
        <v>459</v>
      </c>
      <c r="B1196" s="1" t="s">
        <v>460</v>
      </c>
    </row>
    <row r="1197">
      <c r="A1197" s="1" t="s">
        <v>461</v>
      </c>
      <c r="B1197" s="1" t="s">
        <v>462</v>
      </c>
    </row>
    <row r="1198">
      <c r="A1198" s="1" t="s">
        <v>463</v>
      </c>
      <c r="B1198" s="1" t="s">
        <v>464</v>
      </c>
    </row>
    <row r="1199">
      <c r="A1199" s="1" t="s">
        <v>465</v>
      </c>
      <c r="B1199" s="1" t="s">
        <v>466</v>
      </c>
    </row>
    <row r="1200">
      <c r="A1200" s="1" t="s">
        <v>467</v>
      </c>
      <c r="B1200" s="1" t="s">
        <v>460</v>
      </c>
    </row>
    <row r="1201">
      <c r="A1201" s="1" t="s">
        <v>468</v>
      </c>
      <c r="B1201" s="1" t="s">
        <v>469</v>
      </c>
    </row>
    <row r="1202">
      <c r="A1202" s="1" t="s">
        <v>470</v>
      </c>
      <c r="B1202" s="1" t="s">
        <v>471</v>
      </c>
    </row>
    <row r="1203">
      <c r="A1203" s="1" t="s">
        <v>472</v>
      </c>
      <c r="B1203" s="1" t="s">
        <v>473</v>
      </c>
    </row>
    <row r="1204">
      <c r="A1204" s="1" t="s">
        <v>472</v>
      </c>
      <c r="B1204" s="1" t="s">
        <v>474</v>
      </c>
    </row>
    <row r="1205">
      <c r="A1205" s="1" t="s">
        <v>472</v>
      </c>
      <c r="B1205" s="1" t="s">
        <v>475</v>
      </c>
    </row>
    <row r="1206">
      <c r="A1206" s="1" t="s">
        <v>476</v>
      </c>
      <c r="B1206" s="1" t="s">
        <v>477</v>
      </c>
    </row>
    <row r="1207">
      <c r="A1207" s="1" t="s">
        <v>478</v>
      </c>
      <c r="B1207" s="1" t="s">
        <v>479</v>
      </c>
    </row>
    <row r="1208">
      <c r="A1208" s="1" t="s">
        <v>480</v>
      </c>
      <c r="B1208" s="1" t="s">
        <v>481</v>
      </c>
    </row>
    <row r="1209">
      <c r="A1209" s="1" t="s">
        <v>482</v>
      </c>
      <c r="B1209" s="1" t="s">
        <v>483</v>
      </c>
    </row>
    <row r="1210">
      <c r="A1210" s="1" t="s">
        <v>484</v>
      </c>
      <c r="B1210" s="1" t="s">
        <v>485</v>
      </c>
    </row>
    <row r="1211">
      <c r="A1211" s="1" t="s">
        <v>484</v>
      </c>
      <c r="B1211" s="1" t="s">
        <v>486</v>
      </c>
    </row>
    <row r="1212">
      <c r="A1212" s="1" t="s">
        <v>484</v>
      </c>
      <c r="B1212" s="1" t="s">
        <v>487</v>
      </c>
    </row>
    <row r="1213">
      <c r="A1213" s="1" t="s">
        <v>484</v>
      </c>
      <c r="B1213" s="1" t="s">
        <v>488</v>
      </c>
    </row>
    <row r="1214">
      <c r="A1214" s="1" t="s">
        <v>484</v>
      </c>
      <c r="B1214" s="1" t="s">
        <v>489</v>
      </c>
    </row>
    <row r="1215">
      <c r="A1215" s="1" t="s">
        <v>484</v>
      </c>
      <c r="B1215" s="1" t="s">
        <v>490</v>
      </c>
    </row>
    <row r="1216">
      <c r="A1216" s="1" t="s">
        <v>484</v>
      </c>
      <c r="B1216" s="1" t="s">
        <v>491</v>
      </c>
    </row>
    <row r="1217">
      <c r="A1217" s="1" t="s">
        <v>484</v>
      </c>
      <c r="B1217" s="1" t="s">
        <v>492</v>
      </c>
    </row>
    <row r="1218">
      <c r="A1218" s="1" t="s">
        <v>493</v>
      </c>
      <c r="B1218" s="1" t="s">
        <v>494</v>
      </c>
    </row>
    <row r="1219">
      <c r="A1219" s="1" t="s">
        <v>495</v>
      </c>
      <c r="B1219" s="1" t="s">
        <v>496</v>
      </c>
    </row>
    <row r="1220">
      <c r="A1220" s="1" t="s">
        <v>497</v>
      </c>
      <c r="B1220" s="1" t="s">
        <v>498</v>
      </c>
    </row>
    <row r="1221">
      <c r="A1221" s="1" t="s">
        <v>499</v>
      </c>
      <c r="B1221" s="1" t="s">
        <v>500</v>
      </c>
    </row>
    <row r="1222">
      <c r="A1222" s="1" t="s">
        <v>501</v>
      </c>
      <c r="B1222" s="1" t="s">
        <v>502</v>
      </c>
    </row>
    <row r="1223">
      <c r="A1223" s="1" t="s">
        <v>503</v>
      </c>
      <c r="B1223" s="1" t="s">
        <v>504</v>
      </c>
    </row>
    <row r="1224">
      <c r="A1224" s="1" t="s">
        <v>505</v>
      </c>
      <c r="B1224" s="1" t="s">
        <v>506</v>
      </c>
    </row>
    <row r="1225">
      <c r="A1225" s="1" t="s">
        <v>507</v>
      </c>
      <c r="B1225" s="1" t="s">
        <v>508</v>
      </c>
    </row>
    <row r="1226">
      <c r="A1226" s="1" t="s">
        <v>509</v>
      </c>
      <c r="B1226" s="1" t="s">
        <v>510</v>
      </c>
    </row>
    <row r="1227">
      <c r="A1227" s="1" t="s">
        <v>511</v>
      </c>
      <c r="B1227" s="1" t="s">
        <v>512</v>
      </c>
    </row>
    <row r="1228">
      <c r="A1228" s="1" t="s">
        <v>513</v>
      </c>
      <c r="B1228" s="1" t="s">
        <v>514</v>
      </c>
    </row>
    <row r="1229">
      <c r="A1229" s="1" t="s">
        <v>515</v>
      </c>
      <c r="B1229" s="1" t="s">
        <v>516</v>
      </c>
    </row>
    <row r="1230">
      <c r="A1230" s="1" t="s">
        <v>517</v>
      </c>
      <c r="B1230" s="1" t="s">
        <v>518</v>
      </c>
    </row>
    <row r="1231">
      <c r="A1231" s="1" t="s">
        <v>519</v>
      </c>
      <c r="B1231" s="1" t="s">
        <v>520</v>
      </c>
    </row>
    <row r="1232">
      <c r="A1232" s="1" t="s">
        <v>519</v>
      </c>
      <c r="B1232" s="1" t="s">
        <v>521</v>
      </c>
    </row>
    <row r="1233">
      <c r="A1233" s="1" t="s">
        <v>519</v>
      </c>
      <c r="B1233" s="1" t="s">
        <v>522</v>
      </c>
    </row>
    <row r="1234">
      <c r="A1234" s="1" t="s">
        <v>519</v>
      </c>
      <c r="B1234" s="1" t="s">
        <v>523</v>
      </c>
    </row>
    <row r="1235">
      <c r="A1235" s="1" t="s">
        <v>524</v>
      </c>
      <c r="B1235" s="1" t="s">
        <v>525</v>
      </c>
    </row>
    <row r="1236">
      <c r="A1236" s="1" t="s">
        <v>526</v>
      </c>
      <c r="B1236" s="1" t="s">
        <v>527</v>
      </c>
    </row>
    <row r="1237">
      <c r="A1237" s="1" t="s">
        <v>528</v>
      </c>
      <c r="B1237" s="1" t="s">
        <v>529</v>
      </c>
    </row>
    <row r="1238">
      <c r="A1238" s="1" t="s">
        <v>530</v>
      </c>
      <c r="B1238" s="1" t="s">
        <v>531</v>
      </c>
    </row>
    <row r="1239">
      <c r="A1239" s="1" t="s">
        <v>532</v>
      </c>
      <c r="B1239" s="1" t="s">
        <v>533</v>
      </c>
    </row>
    <row r="1240">
      <c r="A1240" s="1" t="s">
        <v>534</v>
      </c>
      <c r="B1240" s="1" t="s">
        <v>535</v>
      </c>
    </row>
    <row r="1241">
      <c r="A1241" s="1" t="s">
        <v>536</v>
      </c>
      <c r="B1241" s="1" t="s">
        <v>485</v>
      </c>
    </row>
    <row r="1242">
      <c r="A1242" s="1" t="s">
        <v>536</v>
      </c>
      <c r="B1242" s="1" t="s">
        <v>486</v>
      </c>
    </row>
    <row r="1243">
      <c r="A1243" s="1" t="s">
        <v>536</v>
      </c>
      <c r="B1243" s="1" t="s">
        <v>487</v>
      </c>
    </row>
    <row r="1244">
      <c r="A1244" s="1" t="s">
        <v>536</v>
      </c>
      <c r="B1244" s="1" t="s">
        <v>488</v>
      </c>
    </row>
    <row r="1245">
      <c r="A1245" s="1" t="s">
        <v>536</v>
      </c>
      <c r="B1245" s="1" t="s">
        <v>489</v>
      </c>
    </row>
    <row r="1246">
      <c r="A1246" s="1" t="s">
        <v>536</v>
      </c>
      <c r="B1246" s="1" t="s">
        <v>490</v>
      </c>
    </row>
    <row r="1247">
      <c r="A1247" s="1" t="s">
        <v>536</v>
      </c>
      <c r="B1247" s="1" t="s">
        <v>491</v>
      </c>
    </row>
    <row r="1248">
      <c r="A1248" s="1" t="s">
        <v>536</v>
      </c>
      <c r="B1248" s="1" t="s">
        <v>492</v>
      </c>
    </row>
    <row r="1249">
      <c r="A1249" s="1" t="s">
        <v>537</v>
      </c>
      <c r="B1249" s="1" t="s">
        <v>494</v>
      </c>
    </row>
    <row r="1250">
      <c r="A1250" s="1" t="s">
        <v>537</v>
      </c>
      <c r="B1250" s="1" t="s">
        <v>538</v>
      </c>
    </row>
    <row r="1251">
      <c r="A1251" s="1" t="s">
        <v>68</v>
      </c>
      <c r="B1251" s="1" t="s">
        <v>539</v>
      </c>
    </row>
    <row r="1252">
      <c r="A1252" s="1" t="s">
        <v>68</v>
      </c>
      <c r="B1252" s="1" t="s">
        <v>540</v>
      </c>
    </row>
    <row r="1253">
      <c r="A1253" s="1" t="s">
        <v>68</v>
      </c>
      <c r="B1253" s="1" t="s">
        <v>541</v>
      </c>
    </row>
    <row r="1254">
      <c r="A1254" s="1" t="s">
        <v>68</v>
      </c>
      <c r="B1254" s="1" t="s">
        <v>542</v>
      </c>
    </row>
    <row r="1255">
      <c r="A1255" s="1" t="s">
        <v>68</v>
      </c>
      <c r="B1255" s="1" t="s">
        <v>543</v>
      </c>
    </row>
    <row r="1256">
      <c r="A1256" s="1" t="s">
        <v>68</v>
      </c>
      <c r="B1256" s="1" t="s">
        <v>544</v>
      </c>
    </row>
    <row r="1257">
      <c r="A1257" s="1" t="s">
        <v>68</v>
      </c>
      <c r="B1257" s="1" t="s">
        <v>545</v>
      </c>
    </row>
    <row r="1258">
      <c r="A1258" s="1" t="s">
        <v>68</v>
      </c>
      <c r="B1258" s="1" t="s">
        <v>546</v>
      </c>
    </row>
    <row r="1259">
      <c r="A1259" s="1" t="s">
        <v>547</v>
      </c>
      <c r="B1259" s="1" t="s">
        <v>548</v>
      </c>
    </row>
    <row r="1260">
      <c r="A1260" s="1" t="s">
        <v>549</v>
      </c>
      <c r="B1260" s="1" t="s">
        <v>550</v>
      </c>
    </row>
    <row r="1261">
      <c r="A1261" s="1" t="s">
        <v>551</v>
      </c>
      <c r="B1261" s="1" t="s">
        <v>552</v>
      </c>
    </row>
    <row r="1262">
      <c r="A1262" s="1" t="s">
        <v>553</v>
      </c>
      <c r="B1262" s="1" t="s">
        <v>554</v>
      </c>
    </row>
    <row r="1263">
      <c r="A1263" s="1" t="s">
        <v>553</v>
      </c>
      <c r="B1263" s="1" t="s">
        <v>555</v>
      </c>
    </row>
    <row r="1264">
      <c r="A1264" s="1" t="s">
        <v>556</v>
      </c>
      <c r="B1264" s="1" t="s">
        <v>557</v>
      </c>
    </row>
    <row r="1265">
      <c r="A1265" s="1" t="s">
        <v>558</v>
      </c>
      <c r="B1265" s="1" t="s">
        <v>559</v>
      </c>
    </row>
    <row r="1266">
      <c r="A1266" s="1" t="s">
        <v>560</v>
      </c>
      <c r="B1266" s="1" t="s">
        <v>561</v>
      </c>
    </row>
    <row r="1267">
      <c r="A1267" s="1" t="s">
        <v>562</v>
      </c>
      <c r="B1267" s="1" t="s">
        <v>563</v>
      </c>
    </row>
    <row r="1268">
      <c r="A1268" s="1" t="s">
        <v>564</v>
      </c>
      <c r="B1268" s="1" t="s">
        <v>565</v>
      </c>
    </row>
    <row r="1269">
      <c r="A1269" s="1" t="s">
        <v>566</v>
      </c>
      <c r="B1269" s="1" t="s">
        <v>567</v>
      </c>
    </row>
    <row r="1270">
      <c r="A1270" s="1" t="s">
        <v>568</v>
      </c>
      <c r="B1270" s="1" t="s">
        <v>569</v>
      </c>
    </row>
    <row r="1271">
      <c r="A1271" s="1" t="s">
        <v>71</v>
      </c>
      <c r="B1271" s="1" t="s">
        <v>570</v>
      </c>
    </row>
    <row r="1272">
      <c r="A1272" s="1" t="s">
        <v>571</v>
      </c>
      <c r="B1272" s="1" t="s">
        <v>572</v>
      </c>
    </row>
    <row r="1273">
      <c r="A1273" s="1" t="s">
        <v>571</v>
      </c>
      <c r="B1273" s="1" t="s">
        <v>573</v>
      </c>
    </row>
    <row r="1274">
      <c r="A1274" s="1" t="s">
        <v>574</v>
      </c>
      <c r="B1274" s="1" t="s">
        <v>575</v>
      </c>
    </row>
    <row r="1275">
      <c r="A1275" s="1" t="s">
        <v>576</v>
      </c>
      <c r="B1275" s="1" t="s">
        <v>577</v>
      </c>
    </row>
    <row r="1276">
      <c r="A1276" s="1" t="s">
        <v>578</v>
      </c>
      <c r="B1276" s="1" t="s">
        <v>579</v>
      </c>
    </row>
    <row r="1277">
      <c r="A1277" s="1" t="s">
        <v>580</v>
      </c>
      <c r="B1277" s="1" t="s">
        <v>581</v>
      </c>
    </row>
    <row r="1278">
      <c r="A1278" s="1" t="s">
        <v>582</v>
      </c>
      <c r="B1278" s="1" t="s">
        <v>583</v>
      </c>
    </row>
    <row r="1279">
      <c r="A1279" s="1" t="s">
        <v>584</v>
      </c>
      <c r="B1279" s="1" t="s">
        <v>585</v>
      </c>
    </row>
    <row r="1280">
      <c r="A1280" s="1" t="s">
        <v>586</v>
      </c>
      <c r="B1280" s="1" t="s">
        <v>587</v>
      </c>
    </row>
    <row r="1281">
      <c r="A1281" s="1" t="s">
        <v>76</v>
      </c>
      <c r="B1281" s="1" t="s">
        <v>588</v>
      </c>
    </row>
    <row r="1282">
      <c r="A1282" s="1" t="s">
        <v>76</v>
      </c>
      <c r="B1282" s="1" t="s">
        <v>589</v>
      </c>
    </row>
    <row r="1283">
      <c r="A1283" s="1" t="s">
        <v>76</v>
      </c>
      <c r="B1283" s="1" t="s">
        <v>590</v>
      </c>
    </row>
    <row r="1284">
      <c r="A1284" s="1" t="s">
        <v>76</v>
      </c>
      <c r="B1284" s="1" t="s">
        <v>591</v>
      </c>
    </row>
    <row r="1285">
      <c r="A1285" s="1" t="s">
        <v>76</v>
      </c>
      <c r="B1285" s="1" t="s">
        <v>592</v>
      </c>
    </row>
    <row r="1286">
      <c r="A1286" s="1" t="s">
        <v>76</v>
      </c>
      <c r="B1286" s="1" t="s">
        <v>593</v>
      </c>
    </row>
    <row r="1287">
      <c r="A1287" s="1" t="s">
        <v>76</v>
      </c>
      <c r="B1287" s="1" t="s">
        <v>594</v>
      </c>
    </row>
    <row r="1288">
      <c r="A1288" s="1" t="s">
        <v>76</v>
      </c>
      <c r="B1288" s="1" t="s">
        <v>595</v>
      </c>
    </row>
    <row r="1289">
      <c r="A1289" s="1" t="s">
        <v>596</v>
      </c>
      <c r="B1289" s="1" t="s">
        <v>597</v>
      </c>
    </row>
    <row r="1290">
      <c r="A1290" s="1" t="s">
        <v>598</v>
      </c>
      <c r="B1290" s="1" t="s">
        <v>599</v>
      </c>
    </row>
    <row r="1291">
      <c r="A1291" s="1" t="s">
        <v>600</v>
      </c>
      <c r="B1291" s="1" t="s">
        <v>601</v>
      </c>
    </row>
    <row r="1292">
      <c r="A1292" s="1" t="s">
        <v>602</v>
      </c>
      <c r="B1292" s="1" t="s">
        <v>603</v>
      </c>
    </row>
    <row r="1293">
      <c r="A1293" s="1" t="s">
        <v>604</v>
      </c>
      <c r="B1293" s="1" t="s">
        <v>605</v>
      </c>
    </row>
    <row r="1294">
      <c r="A1294" s="1" t="s">
        <v>606</v>
      </c>
      <c r="B1294" s="1" t="s">
        <v>607</v>
      </c>
    </row>
    <row r="1295">
      <c r="A1295" s="1" t="s">
        <v>608</v>
      </c>
      <c r="B1295" s="1" t="s">
        <v>609</v>
      </c>
    </row>
    <row r="1296">
      <c r="A1296" s="1" t="s">
        <v>610</v>
      </c>
      <c r="B1296" s="1" t="s">
        <v>611</v>
      </c>
    </row>
    <row r="1297">
      <c r="A1297" s="1" t="s">
        <v>612</v>
      </c>
      <c r="B1297" s="1" t="s">
        <v>613</v>
      </c>
    </row>
    <row r="1298">
      <c r="A1298" s="1" t="s">
        <v>614</v>
      </c>
      <c r="B1298" s="1" t="s">
        <v>615</v>
      </c>
    </row>
    <row r="1299">
      <c r="A1299" s="1" t="s">
        <v>616</v>
      </c>
      <c r="B1299" s="1" t="s">
        <v>617</v>
      </c>
    </row>
    <row r="1300">
      <c r="A1300" s="1" t="s">
        <v>618</v>
      </c>
      <c r="B1300" s="1" t="s">
        <v>619</v>
      </c>
    </row>
    <row r="1301">
      <c r="A1301" s="1" t="s">
        <v>620</v>
      </c>
      <c r="B1301" s="1" t="s">
        <v>621</v>
      </c>
    </row>
    <row r="1302">
      <c r="A1302" s="1" t="s">
        <v>622</v>
      </c>
      <c r="B1302" s="1" t="s">
        <v>623</v>
      </c>
    </row>
    <row r="1303">
      <c r="A1303" s="1" t="s">
        <v>624</v>
      </c>
      <c r="B1303" s="1" t="s">
        <v>625</v>
      </c>
    </row>
    <row r="1304">
      <c r="A1304" s="1" t="s">
        <v>626</v>
      </c>
      <c r="B1304" s="1" t="s">
        <v>627</v>
      </c>
    </row>
    <row r="1305">
      <c r="A1305" s="1" t="s">
        <v>628</v>
      </c>
      <c r="B1305" s="1" t="s">
        <v>629</v>
      </c>
    </row>
    <row r="1306">
      <c r="A1306" s="1" t="s">
        <v>630</v>
      </c>
      <c r="B1306" s="1" t="s">
        <v>631</v>
      </c>
    </row>
    <row r="1307">
      <c r="A1307" s="1" t="s">
        <v>632</v>
      </c>
      <c r="B1307" s="1" t="s">
        <v>633</v>
      </c>
    </row>
    <row r="1308">
      <c r="A1308" s="1" t="s">
        <v>634</v>
      </c>
      <c r="B1308" s="1" t="s">
        <v>635</v>
      </c>
    </row>
    <row r="1309">
      <c r="A1309" s="1" t="s">
        <v>636</v>
      </c>
      <c r="B1309" s="1" t="s">
        <v>637</v>
      </c>
    </row>
    <row r="1310">
      <c r="A1310" s="1" t="s">
        <v>638</v>
      </c>
      <c r="B1310" s="1" t="s">
        <v>639</v>
      </c>
    </row>
    <row r="1311">
      <c r="A1311" s="1" t="s">
        <v>640</v>
      </c>
      <c r="B1311" s="1" t="s">
        <v>641</v>
      </c>
    </row>
    <row r="1312">
      <c r="A1312" s="1" t="s">
        <v>642</v>
      </c>
      <c r="B1312" s="1" t="s">
        <v>643</v>
      </c>
    </row>
    <row r="1313">
      <c r="A1313" s="1" t="s">
        <v>644</v>
      </c>
      <c r="B1313" s="1" t="s">
        <v>645</v>
      </c>
    </row>
    <row r="1314">
      <c r="A1314" s="1" t="s">
        <v>646</v>
      </c>
      <c r="B1314" s="1" t="s">
        <v>647</v>
      </c>
    </row>
    <row r="1315">
      <c r="A1315" s="1" t="s">
        <v>648</v>
      </c>
      <c r="B1315" s="1" t="s">
        <v>649</v>
      </c>
    </row>
    <row r="1316">
      <c r="A1316" s="1" t="s">
        <v>650</v>
      </c>
      <c r="B1316" s="1" t="s">
        <v>651</v>
      </c>
    </row>
    <row r="1317">
      <c r="A1317" s="1" t="s">
        <v>652</v>
      </c>
      <c r="B1317" s="1" t="s">
        <v>633</v>
      </c>
    </row>
    <row r="1318">
      <c r="A1318" s="1" t="s">
        <v>653</v>
      </c>
      <c r="B1318" s="1" t="s">
        <v>654</v>
      </c>
    </row>
    <row r="1319">
      <c r="A1319" s="1" t="s">
        <v>655</v>
      </c>
      <c r="B1319" s="1" t="s">
        <v>633</v>
      </c>
    </row>
    <row r="1320">
      <c r="A1320" s="1" t="s">
        <v>656</v>
      </c>
      <c r="B1320" s="1" t="s">
        <v>657</v>
      </c>
    </row>
    <row r="1321">
      <c r="A1321" s="1" t="s">
        <v>658</v>
      </c>
      <c r="B1321" s="1" t="s">
        <v>659</v>
      </c>
    </row>
    <row r="1322">
      <c r="A1322" s="1" t="s">
        <v>660</v>
      </c>
      <c r="B1322" s="1" t="s">
        <v>661</v>
      </c>
    </row>
    <row r="1323">
      <c r="A1323" s="1" t="s">
        <v>662</v>
      </c>
      <c r="B1323" s="1" t="s">
        <v>663</v>
      </c>
    </row>
    <row r="1324">
      <c r="A1324" s="1" t="s">
        <v>664</v>
      </c>
      <c r="B1324" s="1" t="s">
        <v>665</v>
      </c>
    </row>
    <row r="1325">
      <c r="A1325" s="1" t="s">
        <v>666</v>
      </c>
      <c r="B1325" s="1" t="s">
        <v>667</v>
      </c>
    </row>
    <row r="1326">
      <c r="A1326" s="1" t="s">
        <v>668</v>
      </c>
      <c r="B1326" s="1" t="s">
        <v>669</v>
      </c>
    </row>
    <row r="1327">
      <c r="A1327" s="1" t="s">
        <v>670</v>
      </c>
      <c r="B1327" s="1" t="s">
        <v>671</v>
      </c>
    </row>
    <row r="1328">
      <c r="A1328" s="1" t="s">
        <v>672</v>
      </c>
      <c r="B1328" s="1" t="s">
        <v>673</v>
      </c>
    </row>
    <row r="1329">
      <c r="A1329" s="1" t="s">
        <v>92</v>
      </c>
      <c r="B1329" s="1" t="s">
        <v>674</v>
      </c>
    </row>
    <row r="1330">
      <c r="A1330" s="1" t="s">
        <v>92</v>
      </c>
      <c r="B1330" s="1" t="s">
        <v>675</v>
      </c>
    </row>
    <row r="1331">
      <c r="A1331" s="1" t="s">
        <v>92</v>
      </c>
      <c r="B1331" s="1" t="s">
        <v>676</v>
      </c>
    </row>
    <row r="1332">
      <c r="A1332" s="1" t="s">
        <v>92</v>
      </c>
      <c r="B1332" s="1" t="s">
        <v>677</v>
      </c>
    </row>
    <row r="1333">
      <c r="A1333" s="1" t="s">
        <v>92</v>
      </c>
      <c r="B1333" s="1" t="s">
        <v>678</v>
      </c>
    </row>
    <row r="1334">
      <c r="A1334" s="1" t="s">
        <v>92</v>
      </c>
      <c r="B1334" s="1" t="s">
        <v>679</v>
      </c>
    </row>
    <row r="1335">
      <c r="A1335" s="1" t="s">
        <v>92</v>
      </c>
      <c r="B1335" s="1" t="s">
        <v>680</v>
      </c>
    </row>
    <row r="1336">
      <c r="A1336" s="1" t="s">
        <v>92</v>
      </c>
      <c r="B1336" s="1" t="s">
        <v>681</v>
      </c>
    </row>
    <row r="1337">
      <c r="A1337" s="1" t="s">
        <v>682</v>
      </c>
      <c r="B1337" s="1" t="s">
        <v>683</v>
      </c>
    </row>
    <row r="1338">
      <c r="A1338" s="1" t="s">
        <v>684</v>
      </c>
      <c r="B1338" s="1" t="s">
        <v>685</v>
      </c>
    </row>
    <row r="1339">
      <c r="A1339" s="1" t="s">
        <v>686</v>
      </c>
      <c r="B1339" s="1" t="s">
        <v>687</v>
      </c>
    </row>
    <row r="1340">
      <c r="A1340" s="1" t="s">
        <v>688</v>
      </c>
      <c r="B1340" s="1" t="s">
        <v>689</v>
      </c>
    </row>
    <row r="1341">
      <c r="A1341" s="1" t="s">
        <v>688</v>
      </c>
      <c r="B1341" s="1" t="s">
        <v>690</v>
      </c>
    </row>
    <row r="1342">
      <c r="A1342" s="1" t="s">
        <v>691</v>
      </c>
      <c r="B1342" s="1" t="s">
        <v>692</v>
      </c>
    </row>
    <row r="1343">
      <c r="A1343" s="1" t="s">
        <v>693</v>
      </c>
      <c r="B1343" s="1" t="s">
        <v>694</v>
      </c>
    </row>
    <row r="1344">
      <c r="A1344" s="1" t="s">
        <v>695</v>
      </c>
      <c r="B1344" s="1" t="s">
        <v>696</v>
      </c>
    </row>
    <row r="1345">
      <c r="A1345" s="1" t="s">
        <v>697</v>
      </c>
      <c r="B1345" s="1" t="s">
        <v>698</v>
      </c>
    </row>
    <row r="1346">
      <c r="A1346" s="1" t="s">
        <v>699</v>
      </c>
      <c r="B1346" s="1" t="s">
        <v>700</v>
      </c>
    </row>
    <row r="1347">
      <c r="A1347" s="1" t="s">
        <v>701</v>
      </c>
      <c r="B1347" s="1" t="s">
        <v>633</v>
      </c>
    </row>
    <row r="1348">
      <c r="A1348" s="1" t="s">
        <v>702</v>
      </c>
      <c r="B1348" s="1" t="s">
        <v>703</v>
      </c>
    </row>
    <row r="1349">
      <c r="A1349" s="1" t="s">
        <v>704</v>
      </c>
      <c r="B1349" s="1" t="s">
        <v>705</v>
      </c>
    </row>
    <row r="1350">
      <c r="A1350" s="1" t="s">
        <v>704</v>
      </c>
      <c r="B1350" s="1" t="s">
        <v>706</v>
      </c>
    </row>
    <row r="1351">
      <c r="A1351" s="1" t="s">
        <v>704</v>
      </c>
      <c r="B1351" s="1" t="s">
        <v>707</v>
      </c>
    </row>
    <row r="1352">
      <c r="A1352" s="1" t="s">
        <v>704</v>
      </c>
      <c r="B1352" s="1" t="s">
        <v>708</v>
      </c>
    </row>
    <row r="1353">
      <c r="A1353" s="1" t="s">
        <v>704</v>
      </c>
      <c r="B1353" s="1" t="s">
        <v>709</v>
      </c>
    </row>
    <row r="1354">
      <c r="A1354" s="1" t="s">
        <v>710</v>
      </c>
      <c r="B1354" s="1" t="s">
        <v>711</v>
      </c>
    </row>
    <row r="1355">
      <c r="A1355" s="1" t="s">
        <v>710</v>
      </c>
      <c r="B1355" s="1" t="s">
        <v>712</v>
      </c>
    </row>
    <row r="1356">
      <c r="A1356" s="1" t="s">
        <v>710</v>
      </c>
      <c r="B1356" s="1" t="s">
        <v>713</v>
      </c>
    </row>
    <row r="1357">
      <c r="A1357" s="1" t="s">
        <v>714</v>
      </c>
      <c r="B1357" s="1" t="s">
        <v>715</v>
      </c>
    </row>
    <row r="1358">
      <c r="A1358" s="1" t="s">
        <v>716</v>
      </c>
      <c r="B1358" s="1" t="s">
        <v>717</v>
      </c>
    </row>
    <row r="1359">
      <c r="A1359" s="1" t="s">
        <v>718</v>
      </c>
      <c r="B1359" s="1" t="s">
        <v>633</v>
      </c>
    </row>
    <row r="1360">
      <c r="A1360" s="1" t="s">
        <v>719</v>
      </c>
      <c r="B1360" s="1" t="s">
        <v>720</v>
      </c>
    </row>
    <row r="1361">
      <c r="A1361" s="1" t="s">
        <v>721</v>
      </c>
      <c r="B1361" s="1" t="s">
        <v>722</v>
      </c>
    </row>
    <row r="1362">
      <c r="A1362" s="1" t="s">
        <v>723</v>
      </c>
      <c r="B1362" s="1" t="s">
        <v>724</v>
      </c>
    </row>
    <row r="1363">
      <c r="A1363" s="1" t="s">
        <v>725</v>
      </c>
      <c r="B1363" s="1" t="s">
        <v>726</v>
      </c>
    </row>
    <row r="1364">
      <c r="A1364" s="1" t="s">
        <v>727</v>
      </c>
      <c r="B1364" s="1" t="s">
        <v>728</v>
      </c>
    </row>
    <row r="1365">
      <c r="A1365" s="1" t="s">
        <v>729</v>
      </c>
      <c r="B1365" s="1" t="s">
        <v>730</v>
      </c>
    </row>
    <row r="1366">
      <c r="A1366" s="1" t="s">
        <v>729</v>
      </c>
      <c r="B1366" s="1" t="s">
        <v>731</v>
      </c>
    </row>
    <row r="1367">
      <c r="A1367" s="1" t="s">
        <v>732</v>
      </c>
      <c r="B1367" s="1" t="s">
        <v>733</v>
      </c>
    </row>
    <row r="1368">
      <c r="A1368" s="1" t="s">
        <v>732</v>
      </c>
      <c r="B1368" s="1" t="s">
        <v>734</v>
      </c>
    </row>
    <row r="1369">
      <c r="A1369" s="1" t="s">
        <v>735</v>
      </c>
      <c r="B1369" s="1" t="s">
        <v>736</v>
      </c>
    </row>
    <row r="1370">
      <c r="A1370" s="1" t="s">
        <v>737</v>
      </c>
      <c r="B1370" s="1" t="s">
        <v>738</v>
      </c>
    </row>
    <row r="1371">
      <c r="A1371" s="1" t="s">
        <v>739</v>
      </c>
      <c r="B1371" s="1" t="s">
        <v>740</v>
      </c>
    </row>
    <row r="1372">
      <c r="A1372" s="1" t="s">
        <v>739</v>
      </c>
      <c r="B1372" s="1" t="s">
        <v>741</v>
      </c>
    </row>
    <row r="1373">
      <c r="A1373" s="1" t="s">
        <v>739</v>
      </c>
      <c r="B1373" s="1" t="s">
        <v>742</v>
      </c>
    </row>
    <row r="1374">
      <c r="A1374" s="1" t="s">
        <v>739</v>
      </c>
      <c r="B1374" s="1" t="s">
        <v>743</v>
      </c>
    </row>
    <row r="1375">
      <c r="A1375" s="1" t="s">
        <v>739</v>
      </c>
      <c r="B1375" s="1" t="s">
        <v>744</v>
      </c>
    </row>
    <row r="1376">
      <c r="A1376" s="1" t="s">
        <v>739</v>
      </c>
      <c r="B1376" s="1" t="s">
        <v>745</v>
      </c>
    </row>
    <row r="1377">
      <c r="A1377" s="1" t="s">
        <v>739</v>
      </c>
      <c r="B1377" s="1" t="s">
        <v>746</v>
      </c>
    </row>
    <row r="1378">
      <c r="A1378" s="1" t="s">
        <v>739</v>
      </c>
      <c r="B1378" s="1" t="s">
        <v>747</v>
      </c>
    </row>
    <row r="1379">
      <c r="A1379" s="1" t="s">
        <v>748</v>
      </c>
      <c r="B1379" s="1" t="s">
        <v>749</v>
      </c>
    </row>
    <row r="1380">
      <c r="A1380" s="1" t="s">
        <v>748</v>
      </c>
      <c r="B1380" s="1" t="s">
        <v>750</v>
      </c>
    </row>
    <row r="1381">
      <c r="A1381" s="1" t="s">
        <v>751</v>
      </c>
      <c r="B1381" s="1" t="s">
        <v>752</v>
      </c>
    </row>
    <row r="1382">
      <c r="A1382" s="1" t="s">
        <v>751</v>
      </c>
      <c r="B1382" s="1" t="s">
        <v>753</v>
      </c>
    </row>
    <row r="1383">
      <c r="A1383" s="1" t="s">
        <v>754</v>
      </c>
      <c r="B1383" s="1" t="s">
        <v>755</v>
      </c>
    </row>
    <row r="1384">
      <c r="A1384" s="1" t="s">
        <v>754</v>
      </c>
      <c r="B1384" s="1" t="s">
        <v>756</v>
      </c>
    </row>
    <row r="1385">
      <c r="A1385" s="1" t="s">
        <v>757</v>
      </c>
      <c r="B1385" s="1" t="s">
        <v>758</v>
      </c>
    </row>
    <row r="1386">
      <c r="A1386" s="1" t="s">
        <v>757</v>
      </c>
      <c r="B1386" s="1" t="s">
        <v>759</v>
      </c>
    </row>
    <row r="1387">
      <c r="A1387" s="1" t="s">
        <v>760</v>
      </c>
      <c r="B1387" s="1" t="s">
        <v>761</v>
      </c>
    </row>
    <row r="1388">
      <c r="A1388" s="1" t="s">
        <v>762</v>
      </c>
      <c r="B1388" s="1" t="s">
        <v>763</v>
      </c>
    </row>
    <row r="1389">
      <c r="A1389" s="1" t="s">
        <v>764</v>
      </c>
      <c r="B1389" s="1" t="s">
        <v>765</v>
      </c>
    </row>
    <row r="1390">
      <c r="A1390" s="1" t="s">
        <v>766</v>
      </c>
      <c r="B1390" s="1" t="s">
        <v>767</v>
      </c>
    </row>
    <row r="1391">
      <c r="A1391" s="1" t="s">
        <v>768</v>
      </c>
      <c r="B1391" s="1" t="s">
        <v>769</v>
      </c>
    </row>
    <row r="1392">
      <c r="A1392" s="1" t="s">
        <v>768</v>
      </c>
      <c r="B1392" s="1" t="s">
        <v>770</v>
      </c>
    </row>
    <row r="1393">
      <c r="A1393" s="1" t="s">
        <v>771</v>
      </c>
      <c r="B1393" s="1" t="s">
        <v>772</v>
      </c>
    </row>
    <row r="1394">
      <c r="A1394" s="1" t="s">
        <v>771</v>
      </c>
      <c r="B1394" s="1" t="s">
        <v>773</v>
      </c>
    </row>
    <row r="1395">
      <c r="A1395" s="1" t="s">
        <v>774</v>
      </c>
      <c r="B1395" s="1" t="s">
        <v>775</v>
      </c>
    </row>
    <row r="1396">
      <c r="A1396" s="1" t="s">
        <v>776</v>
      </c>
      <c r="B1396" s="1" t="s">
        <v>777</v>
      </c>
    </row>
    <row r="1397">
      <c r="A1397" s="1" t="s">
        <v>778</v>
      </c>
      <c r="B1397" s="1" t="s">
        <v>779</v>
      </c>
    </row>
    <row r="1398">
      <c r="A1398" s="1" t="s">
        <v>780</v>
      </c>
      <c r="B1398" s="1" t="s">
        <v>781</v>
      </c>
    </row>
    <row r="1399">
      <c r="A1399" s="1" t="s">
        <v>780</v>
      </c>
      <c r="B1399" s="1" t="s">
        <v>782</v>
      </c>
    </row>
    <row r="1400">
      <c r="A1400" s="1" t="s">
        <v>780</v>
      </c>
      <c r="B1400" s="1" t="s">
        <v>783</v>
      </c>
    </row>
    <row r="1401">
      <c r="A1401" s="1" t="s">
        <v>780</v>
      </c>
      <c r="B1401" s="1" t="s">
        <v>784</v>
      </c>
    </row>
    <row r="1402">
      <c r="A1402" s="1" t="s">
        <v>780</v>
      </c>
      <c r="B1402" s="1" t="s">
        <v>785</v>
      </c>
    </row>
    <row r="1403">
      <c r="A1403" s="1" t="s">
        <v>780</v>
      </c>
      <c r="B1403" s="1" t="s">
        <v>786</v>
      </c>
    </row>
    <row r="1404">
      <c r="A1404" s="1" t="s">
        <v>780</v>
      </c>
      <c r="B1404" s="1" t="s">
        <v>787</v>
      </c>
    </row>
    <row r="1405">
      <c r="A1405" s="1" t="s">
        <v>780</v>
      </c>
      <c r="B1405" s="1" t="s">
        <v>788</v>
      </c>
    </row>
    <row r="1406">
      <c r="A1406" s="1" t="s">
        <v>789</v>
      </c>
      <c r="B1406" s="1" t="s">
        <v>790</v>
      </c>
    </row>
    <row r="1407">
      <c r="A1407" s="1" t="s">
        <v>789</v>
      </c>
      <c r="B1407" s="1" t="s">
        <v>791</v>
      </c>
    </row>
    <row r="1408">
      <c r="A1408" s="1" t="s">
        <v>792</v>
      </c>
      <c r="B1408" s="1" t="s">
        <v>793</v>
      </c>
    </row>
    <row r="1409">
      <c r="A1409" s="1" t="s">
        <v>792</v>
      </c>
      <c r="B1409" s="1" t="s">
        <v>794</v>
      </c>
    </row>
    <row r="1410">
      <c r="A1410" s="1" t="s">
        <v>795</v>
      </c>
      <c r="B1410" s="1" t="s">
        <v>796</v>
      </c>
    </row>
    <row r="1411">
      <c r="A1411" s="1" t="s">
        <v>795</v>
      </c>
      <c r="B1411" s="1" t="s">
        <v>797</v>
      </c>
    </row>
    <row r="1412">
      <c r="A1412" s="1" t="s">
        <v>795</v>
      </c>
      <c r="B1412" s="1" t="s">
        <v>798</v>
      </c>
    </row>
    <row r="1413">
      <c r="A1413" s="1" t="s">
        <v>799</v>
      </c>
      <c r="B1413" s="1" t="s">
        <v>800</v>
      </c>
    </row>
    <row r="1414">
      <c r="A1414" s="1" t="s">
        <v>799</v>
      </c>
      <c r="B1414" s="1" t="s">
        <v>801</v>
      </c>
    </row>
    <row r="1415">
      <c r="A1415" s="1" t="s">
        <v>802</v>
      </c>
      <c r="B1415" s="1" t="s">
        <v>803</v>
      </c>
    </row>
    <row r="1416">
      <c r="A1416" s="1" t="s">
        <v>804</v>
      </c>
      <c r="B1416" s="1" t="s">
        <v>805</v>
      </c>
    </row>
    <row r="1417">
      <c r="A1417" s="1" t="s">
        <v>806</v>
      </c>
      <c r="B1417" s="1" t="s">
        <v>807</v>
      </c>
    </row>
    <row r="1418">
      <c r="A1418" s="1" t="s">
        <v>808</v>
      </c>
      <c r="B1418" s="1" t="s">
        <v>809</v>
      </c>
    </row>
    <row r="1419">
      <c r="A1419" s="1" t="s">
        <v>810</v>
      </c>
      <c r="B1419" s="1" t="s">
        <v>811</v>
      </c>
    </row>
    <row r="1420">
      <c r="A1420" s="1" t="s">
        <v>812</v>
      </c>
      <c r="B1420" s="1" t="s">
        <v>813</v>
      </c>
    </row>
    <row r="1421">
      <c r="A1421" s="1" t="s">
        <v>812</v>
      </c>
      <c r="B1421" s="1" t="s">
        <v>814</v>
      </c>
    </row>
    <row r="1422">
      <c r="A1422" s="1" t="s">
        <v>812</v>
      </c>
      <c r="B1422" s="1" t="s">
        <v>815</v>
      </c>
    </row>
    <row r="1423">
      <c r="A1423" s="1" t="s">
        <v>812</v>
      </c>
      <c r="B1423" s="1" t="s">
        <v>816</v>
      </c>
    </row>
    <row r="1424">
      <c r="A1424" s="1" t="s">
        <v>812</v>
      </c>
      <c r="B1424" s="1" t="s">
        <v>817</v>
      </c>
    </row>
    <row r="1425">
      <c r="A1425" s="1" t="s">
        <v>812</v>
      </c>
      <c r="B1425" s="1" t="s">
        <v>818</v>
      </c>
    </row>
    <row r="1426">
      <c r="A1426" s="1" t="s">
        <v>812</v>
      </c>
      <c r="B1426" s="1" t="s">
        <v>819</v>
      </c>
    </row>
    <row r="1427">
      <c r="A1427" s="1" t="s">
        <v>812</v>
      </c>
      <c r="B1427" s="1" t="s">
        <v>820</v>
      </c>
    </row>
    <row r="1428">
      <c r="A1428" s="1" t="s">
        <v>821</v>
      </c>
      <c r="B1428" s="1" t="s">
        <v>822</v>
      </c>
    </row>
    <row r="1429">
      <c r="A1429" s="1" t="s">
        <v>823</v>
      </c>
      <c r="B1429" s="1" t="s">
        <v>824</v>
      </c>
    </row>
    <row r="1430">
      <c r="A1430" s="1" t="s">
        <v>823</v>
      </c>
      <c r="B1430" s="1" t="s">
        <v>825</v>
      </c>
    </row>
    <row r="1431">
      <c r="A1431" s="1" t="s">
        <v>823</v>
      </c>
      <c r="B1431" s="1" t="s">
        <v>826</v>
      </c>
    </row>
    <row r="1432">
      <c r="A1432" s="1" t="s">
        <v>823</v>
      </c>
      <c r="B1432" s="1" t="s">
        <v>827</v>
      </c>
    </row>
    <row r="1433">
      <c r="A1433" s="1" t="s">
        <v>823</v>
      </c>
      <c r="B1433" s="1" t="s">
        <v>828</v>
      </c>
    </row>
    <row r="1434">
      <c r="A1434" s="1" t="s">
        <v>823</v>
      </c>
      <c r="B1434" s="1" t="s">
        <v>829</v>
      </c>
    </row>
    <row r="1435">
      <c r="A1435" s="1" t="s">
        <v>823</v>
      </c>
      <c r="B1435" s="1" t="s">
        <v>830</v>
      </c>
    </row>
    <row r="1436">
      <c r="A1436" s="1" t="s">
        <v>823</v>
      </c>
      <c r="B1436" s="1" t="s">
        <v>831</v>
      </c>
    </row>
    <row r="1437">
      <c r="A1437" s="1" t="s">
        <v>823</v>
      </c>
      <c r="B1437" s="1" t="s">
        <v>832</v>
      </c>
    </row>
    <row r="1438">
      <c r="A1438" s="1" t="s">
        <v>823</v>
      </c>
      <c r="B1438" s="1" t="s">
        <v>833</v>
      </c>
    </row>
    <row r="1439">
      <c r="A1439" s="1" t="s">
        <v>834</v>
      </c>
      <c r="B1439" s="1" t="s">
        <v>835</v>
      </c>
    </row>
    <row r="1440">
      <c r="A1440" s="1" t="s">
        <v>834</v>
      </c>
      <c r="B1440" s="1" t="s">
        <v>836</v>
      </c>
    </row>
    <row r="1441">
      <c r="A1441" s="1" t="s">
        <v>837</v>
      </c>
      <c r="B1441" s="1" t="s">
        <v>838</v>
      </c>
    </row>
    <row r="1442">
      <c r="A1442" s="1" t="s">
        <v>839</v>
      </c>
      <c r="B1442" s="1" t="s">
        <v>840</v>
      </c>
    </row>
    <row r="1443">
      <c r="A1443" s="1" t="s">
        <v>841</v>
      </c>
      <c r="B1443" s="1" t="s">
        <v>842</v>
      </c>
    </row>
    <row r="1444">
      <c r="A1444" s="1" t="s">
        <v>843</v>
      </c>
      <c r="B1444" s="1" t="s">
        <v>844</v>
      </c>
    </row>
    <row r="1445">
      <c r="A1445" s="1" t="s">
        <v>845</v>
      </c>
      <c r="B1445" s="1" t="s">
        <v>846</v>
      </c>
    </row>
    <row r="1446">
      <c r="A1446" s="1" t="s">
        <v>847</v>
      </c>
      <c r="B1446" s="1" t="s">
        <v>848</v>
      </c>
    </row>
    <row r="1447">
      <c r="A1447" s="1" t="s">
        <v>849</v>
      </c>
      <c r="B1447" s="1" t="s">
        <v>850</v>
      </c>
    </row>
    <row r="1448">
      <c r="A1448" s="1" t="s">
        <v>849</v>
      </c>
      <c r="B1448" s="1" t="s">
        <v>851</v>
      </c>
    </row>
    <row r="1449">
      <c r="A1449" s="1" t="s">
        <v>852</v>
      </c>
      <c r="B1449" s="1" t="s">
        <v>853</v>
      </c>
    </row>
    <row r="1450">
      <c r="A1450" s="1" t="s">
        <v>852</v>
      </c>
      <c r="B1450" s="1" t="s">
        <v>854</v>
      </c>
    </row>
    <row r="1451">
      <c r="A1451" s="1" t="s">
        <v>852</v>
      </c>
      <c r="B1451" s="1" t="s">
        <v>855</v>
      </c>
    </row>
    <row r="1452">
      <c r="A1452" s="1" t="s">
        <v>852</v>
      </c>
      <c r="B1452" s="1" t="s">
        <v>856</v>
      </c>
    </row>
    <row r="1453">
      <c r="A1453" s="1" t="s">
        <v>852</v>
      </c>
      <c r="B1453" s="1" t="s">
        <v>857</v>
      </c>
    </row>
    <row r="1454">
      <c r="A1454" s="1" t="s">
        <v>852</v>
      </c>
      <c r="B1454" s="1" t="s">
        <v>858</v>
      </c>
    </row>
    <row r="1455">
      <c r="A1455" s="1" t="s">
        <v>859</v>
      </c>
      <c r="B1455" s="1" t="s">
        <v>860</v>
      </c>
    </row>
    <row r="1456">
      <c r="A1456" s="1" t="s">
        <v>859</v>
      </c>
      <c r="B1456" s="1" t="s">
        <v>861</v>
      </c>
    </row>
    <row r="1457">
      <c r="A1457" s="1" t="s">
        <v>859</v>
      </c>
      <c r="B1457" s="1" t="s">
        <v>862</v>
      </c>
    </row>
    <row r="1458">
      <c r="A1458" s="1" t="s">
        <v>859</v>
      </c>
      <c r="B1458" s="1" t="s">
        <v>863</v>
      </c>
    </row>
    <row r="1459">
      <c r="A1459" s="1" t="s">
        <v>859</v>
      </c>
      <c r="B1459" s="1" t="s">
        <v>864</v>
      </c>
    </row>
    <row r="1460">
      <c r="A1460" s="1" t="s">
        <v>859</v>
      </c>
      <c r="B1460" s="1" t="s">
        <v>865</v>
      </c>
    </row>
    <row r="1461">
      <c r="A1461" s="1" t="s">
        <v>859</v>
      </c>
      <c r="B1461" s="1" t="s">
        <v>866</v>
      </c>
    </row>
    <row r="1462">
      <c r="A1462" s="1" t="s">
        <v>859</v>
      </c>
      <c r="B1462" s="1" t="s">
        <v>867</v>
      </c>
    </row>
    <row r="1463">
      <c r="A1463" s="1" t="s">
        <v>868</v>
      </c>
      <c r="B1463" s="1" t="s">
        <v>869</v>
      </c>
    </row>
    <row r="1464">
      <c r="A1464" s="1" t="s">
        <v>870</v>
      </c>
      <c r="B1464" s="1" t="s">
        <v>871</v>
      </c>
    </row>
    <row r="1465">
      <c r="A1465" s="1" t="s">
        <v>872</v>
      </c>
      <c r="B1465" s="1" t="s">
        <v>873</v>
      </c>
    </row>
    <row r="1466">
      <c r="A1466" s="1" t="s">
        <v>874</v>
      </c>
      <c r="B1466" s="1" t="s">
        <v>875</v>
      </c>
    </row>
    <row r="1467">
      <c r="A1467" s="1" t="s">
        <v>876</v>
      </c>
      <c r="B1467" s="1" t="s">
        <v>877</v>
      </c>
    </row>
    <row r="1468">
      <c r="A1468" s="1" t="s">
        <v>878</v>
      </c>
      <c r="B1468" s="1" t="s">
        <v>879</v>
      </c>
    </row>
    <row r="1469">
      <c r="A1469" s="1" t="s">
        <v>880</v>
      </c>
      <c r="B1469" s="1" t="s">
        <v>633</v>
      </c>
    </row>
    <row r="1470">
      <c r="A1470" s="1" t="s">
        <v>881</v>
      </c>
      <c r="B1470" s="1" t="s">
        <v>882</v>
      </c>
    </row>
    <row r="1471">
      <c r="A1471" s="1" t="s">
        <v>883</v>
      </c>
      <c r="B1471" s="1" t="s">
        <v>884</v>
      </c>
    </row>
    <row r="1472">
      <c r="A1472" s="1" t="s">
        <v>106</v>
      </c>
      <c r="B1472" s="1" t="s">
        <v>885</v>
      </c>
    </row>
    <row r="1473">
      <c r="A1473" s="1" t="s">
        <v>886</v>
      </c>
      <c r="B1473" s="1" t="s">
        <v>887</v>
      </c>
    </row>
    <row r="1474">
      <c r="A1474" s="1" t="s">
        <v>888</v>
      </c>
      <c r="B1474" s="1" t="s">
        <v>889</v>
      </c>
    </row>
    <row r="1475">
      <c r="A1475" s="1" t="s">
        <v>890</v>
      </c>
      <c r="B1475" s="1" t="s">
        <v>891</v>
      </c>
    </row>
    <row r="1476">
      <c r="A1476" s="1" t="s">
        <v>892</v>
      </c>
      <c r="B1476" s="1" t="s">
        <v>893</v>
      </c>
    </row>
    <row r="1477">
      <c r="A1477" s="1" t="s">
        <v>894</v>
      </c>
      <c r="B1477" s="1" t="s">
        <v>895</v>
      </c>
    </row>
    <row r="1478">
      <c r="A1478" s="1" t="s">
        <v>894</v>
      </c>
      <c r="B1478" s="1" t="s">
        <v>896</v>
      </c>
    </row>
    <row r="1479">
      <c r="A1479" s="1" t="s">
        <v>894</v>
      </c>
      <c r="B1479" s="1" t="s">
        <v>897</v>
      </c>
    </row>
    <row r="1480">
      <c r="A1480" s="1" t="s">
        <v>894</v>
      </c>
      <c r="B1480" s="1" t="s">
        <v>898</v>
      </c>
    </row>
    <row r="1481">
      <c r="A1481" s="1" t="s">
        <v>894</v>
      </c>
      <c r="B1481" s="1" t="s">
        <v>899</v>
      </c>
    </row>
    <row r="1482">
      <c r="A1482" s="1" t="s">
        <v>894</v>
      </c>
      <c r="B1482" s="1" t="s">
        <v>900</v>
      </c>
    </row>
    <row r="1483">
      <c r="A1483" s="1" t="s">
        <v>894</v>
      </c>
      <c r="B1483" s="1" t="s">
        <v>901</v>
      </c>
    </row>
    <row r="1484">
      <c r="A1484" s="1" t="s">
        <v>894</v>
      </c>
      <c r="B1484" s="1" t="s">
        <v>902</v>
      </c>
    </row>
    <row r="1485">
      <c r="A1485" s="1" t="s">
        <v>903</v>
      </c>
      <c r="B1485" s="1" t="s">
        <v>904</v>
      </c>
    </row>
    <row r="1486">
      <c r="A1486" s="1" t="s">
        <v>903</v>
      </c>
      <c r="B1486" s="1" t="s">
        <v>905</v>
      </c>
    </row>
    <row r="1487">
      <c r="A1487" s="1" t="s">
        <v>906</v>
      </c>
      <c r="B1487" s="1" t="s">
        <v>907</v>
      </c>
    </row>
    <row r="1488">
      <c r="A1488" s="1" t="s">
        <v>906</v>
      </c>
      <c r="B1488" s="1" t="s">
        <v>908</v>
      </c>
    </row>
    <row r="1489">
      <c r="A1489" s="1" t="s">
        <v>909</v>
      </c>
      <c r="B1489" s="1" t="s">
        <v>910</v>
      </c>
    </row>
    <row r="1490">
      <c r="A1490" s="1" t="s">
        <v>909</v>
      </c>
      <c r="B1490" s="1" t="s">
        <v>911</v>
      </c>
    </row>
    <row r="1491">
      <c r="A1491" s="1" t="s">
        <v>912</v>
      </c>
      <c r="B1491" s="1" t="s">
        <v>913</v>
      </c>
    </row>
    <row r="1492">
      <c r="A1492" s="1" t="s">
        <v>912</v>
      </c>
      <c r="B1492" s="1" t="s">
        <v>914</v>
      </c>
    </row>
    <row r="1493">
      <c r="A1493" s="1" t="s">
        <v>915</v>
      </c>
      <c r="B1493" s="1" t="s">
        <v>916</v>
      </c>
    </row>
    <row r="1494">
      <c r="A1494" s="1" t="s">
        <v>917</v>
      </c>
      <c r="B1494" s="1" t="s">
        <v>918</v>
      </c>
    </row>
    <row r="1495">
      <c r="A1495" s="1" t="s">
        <v>919</v>
      </c>
      <c r="B1495" s="1" t="s">
        <v>920</v>
      </c>
    </row>
    <row r="1496">
      <c r="A1496" s="1" t="s">
        <v>921</v>
      </c>
      <c r="B1496" s="1" t="s">
        <v>922</v>
      </c>
    </row>
    <row r="1497">
      <c r="A1497" s="1" t="s">
        <v>923</v>
      </c>
      <c r="B1497" s="1" t="s">
        <v>924</v>
      </c>
    </row>
    <row r="1498">
      <c r="A1498" s="1" t="s">
        <v>925</v>
      </c>
      <c r="B1498" s="1" t="s">
        <v>926</v>
      </c>
    </row>
    <row r="1499">
      <c r="A1499" s="1" t="s">
        <v>927</v>
      </c>
      <c r="B1499" s="1" t="s">
        <v>928</v>
      </c>
    </row>
    <row r="1500">
      <c r="A1500" s="1" t="s">
        <v>929</v>
      </c>
      <c r="B1500" s="1" t="s">
        <v>930</v>
      </c>
    </row>
    <row r="1501">
      <c r="A1501" s="1" t="s">
        <v>931</v>
      </c>
      <c r="B1501" s="1" t="s">
        <v>932</v>
      </c>
    </row>
    <row r="1502">
      <c r="A1502" s="1" t="s">
        <v>931</v>
      </c>
      <c r="B1502" s="1" t="s">
        <v>933</v>
      </c>
    </row>
    <row r="1503">
      <c r="A1503" s="1" t="s">
        <v>931</v>
      </c>
      <c r="B1503" s="1" t="s">
        <v>934</v>
      </c>
    </row>
    <row r="1504">
      <c r="A1504" s="1" t="s">
        <v>931</v>
      </c>
      <c r="B1504" s="1" t="s">
        <v>935</v>
      </c>
    </row>
    <row r="1505">
      <c r="A1505" s="1" t="s">
        <v>931</v>
      </c>
      <c r="B1505" s="1" t="s">
        <v>936</v>
      </c>
    </row>
    <row r="1506">
      <c r="A1506" s="1" t="s">
        <v>931</v>
      </c>
      <c r="B1506" s="1" t="s">
        <v>937</v>
      </c>
    </row>
    <row r="1507">
      <c r="A1507" s="1" t="s">
        <v>931</v>
      </c>
      <c r="B1507" s="1" t="s">
        <v>938</v>
      </c>
    </row>
    <row r="1508">
      <c r="A1508" s="1" t="s">
        <v>931</v>
      </c>
      <c r="B1508" s="1" t="s">
        <v>939</v>
      </c>
    </row>
    <row r="1509">
      <c r="A1509" s="1" t="s">
        <v>940</v>
      </c>
      <c r="B1509" s="1" t="s">
        <v>941</v>
      </c>
    </row>
    <row r="1510">
      <c r="A1510" s="1" t="s">
        <v>940</v>
      </c>
      <c r="B1510" s="1" t="s">
        <v>942</v>
      </c>
    </row>
    <row r="1511">
      <c r="A1511" s="1" t="s">
        <v>943</v>
      </c>
      <c r="B1511" s="1" t="s">
        <v>944</v>
      </c>
    </row>
    <row r="1512">
      <c r="A1512" s="1" t="s">
        <v>943</v>
      </c>
      <c r="B1512" s="1" t="s">
        <v>945</v>
      </c>
    </row>
    <row r="1513">
      <c r="A1513" s="1" t="s">
        <v>946</v>
      </c>
      <c r="B1513" s="1" t="s">
        <v>947</v>
      </c>
    </row>
    <row r="1514">
      <c r="A1514" s="1" t="s">
        <v>946</v>
      </c>
      <c r="B1514" s="1" t="s">
        <v>948</v>
      </c>
    </row>
    <row r="1515">
      <c r="A1515" s="1" t="s">
        <v>949</v>
      </c>
      <c r="B1515" s="1" t="s">
        <v>950</v>
      </c>
    </row>
    <row r="1516">
      <c r="A1516" s="1" t="s">
        <v>949</v>
      </c>
      <c r="B1516" s="1" t="s">
        <v>951</v>
      </c>
    </row>
    <row r="1517">
      <c r="A1517" s="1" t="s">
        <v>952</v>
      </c>
      <c r="B1517" s="1" t="s">
        <v>953</v>
      </c>
    </row>
    <row r="1518">
      <c r="A1518" s="1" t="s">
        <v>954</v>
      </c>
      <c r="B1518" s="1" t="s">
        <v>955</v>
      </c>
    </row>
    <row r="1519">
      <c r="A1519" s="1" t="s">
        <v>956</v>
      </c>
      <c r="B1519" s="1" t="s">
        <v>957</v>
      </c>
    </row>
    <row r="1520">
      <c r="A1520" s="1" t="s">
        <v>958</v>
      </c>
      <c r="B1520" s="1" t="s">
        <v>959</v>
      </c>
    </row>
    <row r="1521">
      <c r="A1521" s="1" t="s">
        <v>115</v>
      </c>
      <c r="B1521" s="1" t="s">
        <v>960</v>
      </c>
    </row>
    <row r="1522">
      <c r="A1522" s="1" t="s">
        <v>115</v>
      </c>
      <c r="B1522" s="1" t="s">
        <v>961</v>
      </c>
    </row>
    <row r="1523">
      <c r="A1523" s="1" t="s">
        <v>115</v>
      </c>
      <c r="B1523" s="1" t="s">
        <v>962</v>
      </c>
    </row>
    <row r="1524">
      <c r="A1524" s="1" t="s">
        <v>115</v>
      </c>
      <c r="B1524" s="1" t="s">
        <v>963</v>
      </c>
    </row>
    <row r="1525">
      <c r="A1525" s="1" t="s">
        <v>115</v>
      </c>
      <c r="B1525" s="1" t="s">
        <v>964</v>
      </c>
    </row>
    <row r="1526">
      <c r="A1526" s="1" t="s">
        <v>115</v>
      </c>
      <c r="B1526" s="1" t="s">
        <v>965</v>
      </c>
    </row>
    <row r="1527">
      <c r="A1527" s="1" t="s">
        <v>115</v>
      </c>
      <c r="B1527" s="1" t="s">
        <v>966</v>
      </c>
    </row>
    <row r="1528">
      <c r="A1528" s="1" t="s">
        <v>115</v>
      </c>
      <c r="B1528" s="1" t="s">
        <v>967</v>
      </c>
    </row>
    <row r="1529">
      <c r="A1529" s="1" t="s">
        <v>968</v>
      </c>
      <c r="B1529" s="1" t="s">
        <v>969</v>
      </c>
    </row>
    <row r="1530">
      <c r="A1530" s="1" t="s">
        <v>968</v>
      </c>
      <c r="B1530" s="1" t="s">
        <v>970</v>
      </c>
    </row>
    <row r="1531">
      <c r="A1531" s="1" t="s">
        <v>971</v>
      </c>
      <c r="B1531" s="1" t="s">
        <v>972</v>
      </c>
    </row>
    <row r="1532">
      <c r="A1532" s="1" t="s">
        <v>973</v>
      </c>
      <c r="B1532" s="1" t="s">
        <v>974</v>
      </c>
    </row>
    <row r="1533">
      <c r="A1533" s="1" t="s">
        <v>975</v>
      </c>
      <c r="B1533" s="1" t="s">
        <v>976</v>
      </c>
    </row>
    <row r="1534">
      <c r="A1534" s="1" t="s">
        <v>977</v>
      </c>
      <c r="B1534" s="1" t="s">
        <v>978</v>
      </c>
    </row>
    <row r="1535">
      <c r="A1535" s="1" t="s">
        <v>979</v>
      </c>
      <c r="B1535" s="1" t="s">
        <v>980</v>
      </c>
    </row>
    <row r="1536">
      <c r="A1536" s="1" t="s">
        <v>981</v>
      </c>
      <c r="B1536" s="1" t="s">
        <v>982</v>
      </c>
    </row>
    <row r="1537">
      <c r="A1537" s="1" t="s">
        <v>983</v>
      </c>
      <c r="B1537" s="1" t="s">
        <v>984</v>
      </c>
    </row>
    <row r="1538">
      <c r="A1538" s="1" t="s">
        <v>985</v>
      </c>
      <c r="B1538" s="1" t="s">
        <v>986</v>
      </c>
    </row>
    <row r="1539">
      <c r="A1539" s="1" t="s">
        <v>118</v>
      </c>
      <c r="B1539" s="1" t="s">
        <v>987</v>
      </c>
    </row>
    <row r="1540">
      <c r="A1540" s="1" t="s">
        <v>988</v>
      </c>
      <c r="B1540" s="1" t="s">
        <v>989</v>
      </c>
    </row>
    <row r="1541">
      <c r="A1541" s="1" t="s">
        <v>990</v>
      </c>
      <c r="B1541" s="1" t="s">
        <v>991</v>
      </c>
    </row>
    <row r="1542">
      <c r="A1542" s="1" t="s">
        <v>992</v>
      </c>
      <c r="B1542" s="1" t="s">
        <v>993</v>
      </c>
    </row>
    <row r="1543">
      <c r="A1543" s="1" t="s">
        <v>994</v>
      </c>
      <c r="B1543" s="1" t="s">
        <v>995</v>
      </c>
    </row>
    <row r="1544">
      <c r="A1544" s="1" t="s">
        <v>996</v>
      </c>
      <c r="B1544" s="1" t="s">
        <v>997</v>
      </c>
    </row>
    <row r="1545">
      <c r="A1545" s="1" t="s">
        <v>998</v>
      </c>
      <c r="B1545" s="1" t="s">
        <v>999</v>
      </c>
    </row>
    <row r="1546">
      <c r="A1546" s="1" t="s">
        <v>998</v>
      </c>
      <c r="B1546" s="1" t="s">
        <v>1000</v>
      </c>
    </row>
    <row r="1547">
      <c r="A1547" s="1" t="s">
        <v>1001</v>
      </c>
      <c r="B1547" s="1" t="s">
        <v>1002</v>
      </c>
    </row>
    <row r="1548">
      <c r="A1548" s="1" t="s">
        <v>1003</v>
      </c>
      <c r="B1548" s="1" t="s">
        <v>1004</v>
      </c>
    </row>
    <row r="1549">
      <c r="A1549" s="1" t="s">
        <v>1003</v>
      </c>
      <c r="B1549" s="1" t="s">
        <v>1005</v>
      </c>
    </row>
    <row r="1550">
      <c r="A1550" s="1" t="s">
        <v>1006</v>
      </c>
      <c r="B1550" s="1" t="s">
        <v>1007</v>
      </c>
    </row>
    <row r="1551">
      <c r="A1551" s="1" t="s">
        <v>1008</v>
      </c>
      <c r="B1551" s="1" t="s">
        <v>1009</v>
      </c>
    </row>
    <row r="1552">
      <c r="A1552" s="1" t="s">
        <v>1010</v>
      </c>
      <c r="B1552" s="1" t="s">
        <v>1011</v>
      </c>
    </row>
    <row r="1553">
      <c r="A1553" s="1" t="s">
        <v>1012</v>
      </c>
      <c r="B1553" s="1" t="s">
        <v>1013</v>
      </c>
    </row>
    <row r="1554">
      <c r="A1554" s="1" t="s">
        <v>1014</v>
      </c>
      <c r="B1554" s="1" t="s">
        <v>1015</v>
      </c>
    </row>
    <row r="1555">
      <c r="A1555" s="1" t="s">
        <v>1016</v>
      </c>
      <c r="B1555" s="1" t="s">
        <v>1017</v>
      </c>
    </row>
    <row r="1556">
      <c r="A1556" s="1" t="s">
        <v>1018</v>
      </c>
      <c r="B1556" s="1" t="s">
        <v>1019</v>
      </c>
    </row>
    <row r="1557">
      <c r="A1557" s="1" t="s">
        <v>1020</v>
      </c>
      <c r="B1557" s="1" t="s">
        <v>1021</v>
      </c>
    </row>
    <row r="1558">
      <c r="A1558" s="1" t="s">
        <v>1022</v>
      </c>
      <c r="B1558" s="1" t="s">
        <v>1023</v>
      </c>
    </row>
    <row r="1559">
      <c r="A1559" s="1" t="s">
        <v>1024</v>
      </c>
      <c r="B1559" s="1" t="s">
        <v>1025</v>
      </c>
    </row>
    <row r="1560">
      <c r="A1560" s="1" t="s">
        <v>124</v>
      </c>
      <c r="B1560" s="1" t="s">
        <v>1026</v>
      </c>
    </row>
    <row r="1561">
      <c r="A1561" s="1" t="s">
        <v>124</v>
      </c>
      <c r="B1561" s="1" t="s">
        <v>1027</v>
      </c>
    </row>
    <row r="1562">
      <c r="A1562" s="1" t="s">
        <v>124</v>
      </c>
      <c r="B1562" s="1" t="s">
        <v>1028</v>
      </c>
    </row>
    <row r="1563">
      <c r="A1563" s="1" t="s">
        <v>124</v>
      </c>
      <c r="B1563" s="1" t="s">
        <v>1029</v>
      </c>
    </row>
    <row r="1564">
      <c r="A1564" s="1" t="s">
        <v>124</v>
      </c>
      <c r="B1564" s="1" t="s">
        <v>1030</v>
      </c>
    </row>
    <row r="1565">
      <c r="A1565" s="1" t="s">
        <v>124</v>
      </c>
      <c r="B1565" s="1" t="s">
        <v>1031</v>
      </c>
    </row>
    <row r="1566">
      <c r="A1566" s="1" t="s">
        <v>124</v>
      </c>
      <c r="B1566" s="1" t="s">
        <v>1032</v>
      </c>
    </row>
    <row r="1567">
      <c r="A1567" s="1" t="s">
        <v>124</v>
      </c>
      <c r="B1567" s="1" t="s">
        <v>1033</v>
      </c>
    </row>
    <row r="1568">
      <c r="A1568" s="1" t="s">
        <v>124</v>
      </c>
      <c r="B1568" s="1" t="s">
        <v>1034</v>
      </c>
    </row>
    <row r="1569">
      <c r="A1569" s="1" t="s">
        <v>124</v>
      </c>
      <c r="B1569" s="1" t="s">
        <v>1035</v>
      </c>
    </row>
    <row r="1570">
      <c r="A1570" s="1" t="s">
        <v>124</v>
      </c>
      <c r="B1570" s="1" t="s">
        <v>1036</v>
      </c>
    </row>
    <row r="1571">
      <c r="A1571" s="1" t="s">
        <v>124</v>
      </c>
      <c r="B1571" s="1" t="s">
        <v>1037</v>
      </c>
    </row>
    <row r="1572">
      <c r="A1572" s="1" t="s">
        <v>124</v>
      </c>
      <c r="B1572" s="1" t="s">
        <v>1038</v>
      </c>
    </row>
    <row r="1573">
      <c r="A1573" s="1" t="s">
        <v>124</v>
      </c>
      <c r="B1573" s="1" t="s">
        <v>1039</v>
      </c>
    </row>
    <row r="1574">
      <c r="A1574" s="1" t="s">
        <v>124</v>
      </c>
      <c r="B1574" s="1" t="s">
        <v>1040</v>
      </c>
    </row>
    <row r="1575">
      <c r="A1575" s="1" t="s">
        <v>124</v>
      </c>
      <c r="B1575" s="1" t="s">
        <v>1041</v>
      </c>
    </row>
    <row r="1576">
      <c r="A1576" s="1" t="s">
        <v>124</v>
      </c>
      <c r="B1576" s="1" t="s">
        <v>1042</v>
      </c>
    </row>
    <row r="1577">
      <c r="A1577" s="1" t="s">
        <v>124</v>
      </c>
      <c r="B1577" s="1" t="s">
        <v>1043</v>
      </c>
    </row>
    <row r="1578">
      <c r="A1578" s="1" t="s">
        <v>124</v>
      </c>
      <c r="B1578" s="1" t="s">
        <v>1044</v>
      </c>
    </row>
    <row r="1579">
      <c r="A1579" s="1" t="s">
        <v>124</v>
      </c>
      <c r="B1579" s="1" t="s">
        <v>1045</v>
      </c>
    </row>
    <row r="1580">
      <c r="A1580" s="1" t="s">
        <v>124</v>
      </c>
      <c r="B1580" s="1" t="s">
        <v>1046</v>
      </c>
    </row>
    <row r="1581">
      <c r="A1581" s="1" t="s">
        <v>124</v>
      </c>
      <c r="B1581" s="1" t="s">
        <v>1047</v>
      </c>
    </row>
    <row r="1582">
      <c r="A1582" s="1" t="s">
        <v>124</v>
      </c>
      <c r="B1582" s="1" t="s">
        <v>1048</v>
      </c>
    </row>
    <row r="1583">
      <c r="A1583" s="1" t="s">
        <v>124</v>
      </c>
      <c r="B1583" s="1" t="s">
        <v>1049</v>
      </c>
    </row>
    <row r="1584">
      <c r="A1584" s="1" t="s">
        <v>124</v>
      </c>
      <c r="B1584" s="1" t="s">
        <v>1050</v>
      </c>
    </row>
    <row r="1585">
      <c r="A1585" s="1" t="s">
        <v>124</v>
      </c>
      <c r="B1585" s="1" t="s">
        <v>1051</v>
      </c>
    </row>
    <row r="1586">
      <c r="A1586" s="1" t="s">
        <v>124</v>
      </c>
      <c r="B1586" s="1" t="s">
        <v>1052</v>
      </c>
    </row>
    <row r="1587">
      <c r="A1587" s="1" t="s">
        <v>124</v>
      </c>
      <c r="B1587" s="1" t="s">
        <v>1053</v>
      </c>
    </row>
    <row r="1588">
      <c r="A1588" s="1" t="s">
        <v>124</v>
      </c>
      <c r="B1588" s="1" t="s">
        <v>1054</v>
      </c>
    </row>
    <row r="1589">
      <c r="A1589" s="1" t="s">
        <v>124</v>
      </c>
      <c r="B1589" s="1" t="s">
        <v>1055</v>
      </c>
    </row>
    <row r="1590">
      <c r="A1590" s="1" t="s">
        <v>124</v>
      </c>
      <c r="B1590" s="1" t="s">
        <v>1056</v>
      </c>
    </row>
    <row r="1591">
      <c r="A1591" s="1" t="s">
        <v>124</v>
      </c>
      <c r="B1591" s="1" t="s">
        <v>1057</v>
      </c>
    </row>
    <row r="1592">
      <c r="A1592" s="1" t="s">
        <v>124</v>
      </c>
      <c r="B1592" s="1" t="s">
        <v>1058</v>
      </c>
    </row>
    <row r="1593">
      <c r="A1593" s="1" t="s">
        <v>124</v>
      </c>
      <c r="B1593" s="1" t="s">
        <v>1059</v>
      </c>
    </row>
    <row r="1594">
      <c r="A1594" s="1" t="s">
        <v>124</v>
      </c>
      <c r="B1594" s="1" t="s">
        <v>1060</v>
      </c>
    </row>
    <row r="1595">
      <c r="A1595" s="1" t="s">
        <v>124</v>
      </c>
      <c r="B1595" s="1" t="s">
        <v>1061</v>
      </c>
    </row>
    <row r="1596">
      <c r="A1596" s="1" t="s">
        <v>124</v>
      </c>
      <c r="B1596" s="1" t="s">
        <v>1062</v>
      </c>
    </row>
    <row r="1597">
      <c r="A1597" s="1" t="s">
        <v>124</v>
      </c>
      <c r="B1597" s="1" t="s">
        <v>1063</v>
      </c>
    </row>
    <row r="1598">
      <c r="A1598" s="1" t="s">
        <v>124</v>
      </c>
      <c r="B1598" s="1" t="s">
        <v>1064</v>
      </c>
    </row>
    <row r="1599">
      <c r="A1599" s="1" t="s">
        <v>124</v>
      </c>
      <c r="B1599" s="1" t="s">
        <v>1065</v>
      </c>
    </row>
    <row r="1600">
      <c r="A1600" s="1" t="s">
        <v>1066</v>
      </c>
      <c r="B1600" s="1" t="s">
        <v>1067</v>
      </c>
    </row>
    <row r="1601">
      <c r="A1601" s="1" t="s">
        <v>1068</v>
      </c>
      <c r="B1601" s="1" t="s">
        <v>1069</v>
      </c>
    </row>
    <row r="1602">
      <c r="A1602" s="1" t="s">
        <v>1068</v>
      </c>
      <c r="B1602" s="1" t="s">
        <v>1070</v>
      </c>
    </row>
    <row r="1603">
      <c r="A1603" s="1" t="s">
        <v>1068</v>
      </c>
      <c r="B1603" s="1" t="s">
        <v>1071</v>
      </c>
    </row>
    <row r="1604">
      <c r="A1604" s="1" t="s">
        <v>1068</v>
      </c>
      <c r="B1604" s="1" t="s">
        <v>1072</v>
      </c>
    </row>
  </sheetData>
  <dataValidations>
    <dataValidation type="list" allowBlank="1" showErrorMessage="1" sqref="K2:K82 M2:M82 O2:O82 Q2:Q82 S2:S82 U2:U82">
      <formula1>Skills[Action]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7.75"/>
    <col customWidth="1" min="2" max="2" width="4.13"/>
    <col customWidth="1" min="3" max="5" width="15.5"/>
    <col customWidth="1" min="6" max="6" width="16.63"/>
    <col customWidth="1" min="7" max="7" width="4.38"/>
    <col customWidth="1" min="8" max="8" width="37.0"/>
    <col customWidth="1" min="9" max="9" width="15.38"/>
  </cols>
  <sheetData>
    <row r="1">
      <c r="A1" s="10"/>
      <c r="B1" s="10"/>
      <c r="C1" s="11" t="s">
        <v>1073</v>
      </c>
      <c r="D1" s="11" t="s">
        <v>1074</v>
      </c>
      <c r="E1" s="11" t="s">
        <v>1075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>
      <c r="A2" s="10"/>
      <c r="B2" s="12" t="s">
        <v>1076</v>
      </c>
      <c r="C2" s="13">
        <f>SUM(簡易計算[着弾回復量])*$I$5*$I$6*$I$7*$I$8*$I$9*$I$10</f>
        <v>0</v>
      </c>
      <c r="D2" s="14">
        <f>SUM(簡易計算[継続回復(Tick)])*$I$5*$I$6*$I$7*$I$10</f>
        <v>14316</v>
      </c>
      <c r="E2" s="15">
        <f>SUM(簡易計算[バリア量])*$I$5*$I$6*$I$7*$I$8*$I$9*$I$10</f>
        <v>27617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>
      <c r="A3" s="16"/>
      <c r="B3" s="16" t="s">
        <v>1077</v>
      </c>
      <c r="C3" s="16"/>
      <c r="D3" s="10"/>
      <c r="E3" s="10"/>
      <c r="F3" s="10"/>
      <c r="G3" s="10"/>
      <c r="H3" s="17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ht="22.5" customHeight="1">
      <c r="A4" s="18" t="s">
        <v>1078</v>
      </c>
      <c r="B4" s="19" t="s">
        <v>1079</v>
      </c>
      <c r="C4" s="18" t="s">
        <v>1073</v>
      </c>
      <c r="D4" s="18" t="s">
        <v>1074</v>
      </c>
      <c r="E4" s="18" t="s">
        <v>1075</v>
      </c>
      <c r="F4" s="20" t="s">
        <v>1080</v>
      </c>
      <c r="G4" s="10"/>
      <c r="H4" s="18" t="s">
        <v>1078</v>
      </c>
      <c r="I4" s="18" t="s">
        <v>1081</v>
      </c>
      <c r="J4" s="10"/>
      <c r="K4" s="10"/>
      <c r="L4" s="10"/>
      <c r="M4" s="10"/>
      <c r="N4" s="10"/>
      <c r="O4" s="10"/>
      <c r="P4" s="10"/>
      <c r="Q4" s="10"/>
      <c r="R4" s="10"/>
      <c r="S4" s="10"/>
    </row>
    <row r="5" ht="22.5" customHeight="1">
      <c r="A5" s="21" t="s">
        <v>1082</v>
      </c>
      <c r="B5" s="22" t="str">
        <f t="array" ref="B5">XLOOKUP($A5,Skills[Action],Skills[Icon],"")</f>
        <v/>
      </c>
      <c r="C5" s="23">
        <f t="array" ref="C5">XLOOKUP($A5,Skills[Action],Skills[H],"")</f>
        <v>0</v>
      </c>
      <c r="D5" s="23">
        <f t="array" ref="D5">XLOOKUP($A5,Skills[Action],Skills[HOT_H(tick)],"")</f>
        <v>14316</v>
      </c>
      <c r="E5" s="23">
        <f t="array" ref="E5">XLOOKUP($A5,Skills[Action],Skills[Barrier_H],"")+XLOOKUP($A5,Skills[Action],Skills[HP_Barrier_H],"")</f>
        <v>27617</v>
      </c>
      <c r="F5" s="23">
        <f t="array" ref="F5">XLOOKUP($A5,Skills[Action],Skills[HOT_H(tick)],"")*(XLOOKUP($A5,Skills[Action],Skills[Duration],"")/3)</f>
        <v>71580</v>
      </c>
      <c r="G5" s="10"/>
      <c r="H5" s="21"/>
      <c r="I5" s="24">
        <f t="array" ref="I5">iferror(if(XLOOKUP(バフ[スキル],Skills[Action],Skills[Buff])=false,1,XLOOKUP(バフ[スキル],Skills[Action],Skills[Buff])),1)</f>
        <v>1</v>
      </c>
      <c r="J5" s="10"/>
      <c r="K5" s="10"/>
      <c r="L5" s="10"/>
      <c r="M5" s="10"/>
      <c r="N5" s="10"/>
      <c r="O5" s="10"/>
      <c r="P5" s="10"/>
      <c r="Q5" s="10"/>
      <c r="R5" s="10"/>
      <c r="S5" s="10"/>
    </row>
    <row r="6" ht="22.5" customHeight="1">
      <c r="A6" s="21"/>
      <c r="B6" s="22" t="str">
        <f t="array" ref="B6">XLOOKUP($A6,Skills[Action],Skills[Icon],"")</f>
        <v/>
      </c>
      <c r="C6" s="23" t="str">
        <f t="array" ref="C6">XLOOKUP(A6,Skills[Action],Skills[H],"")</f>
        <v/>
      </c>
      <c r="D6" s="23" t="str">
        <f t="array" ref="D6">XLOOKUP($A6,Skills[Action],Skills[HOT_H(tick)],"")</f>
        <v/>
      </c>
      <c r="E6" s="23">
        <f t="array" ref="E6">XLOOKUP($A6,Skills[Action],Skills[Barrier_H],"")+XLOOKUP($A6,Skills[Action],Skills[HP_Barrier_H],"")</f>
        <v>0</v>
      </c>
      <c r="F6" s="23">
        <f t="array" ref="F6">XLOOKUP($A6,Skills[Action],Skills[HOT_H(tick)],"")*(XLOOKUP($A6,Skills[Action],Skills[Duration],"")/3)</f>
        <v>0</v>
      </c>
      <c r="G6" s="10"/>
      <c r="H6" s="21"/>
      <c r="I6" s="24">
        <f t="array" ref="I6">iferror(if(XLOOKUP(バフ[スキル],Skills[Action],Skills[Buff])=false,1,XLOOKUP(バフ[スキル],Skills[Action],Skills[Buff])),1)</f>
        <v>1</v>
      </c>
      <c r="J6" s="10"/>
      <c r="K6" s="10"/>
      <c r="L6" s="10"/>
      <c r="M6" s="10"/>
      <c r="N6" s="10"/>
      <c r="O6" s="10"/>
      <c r="P6" s="10"/>
      <c r="Q6" s="10"/>
      <c r="R6" s="10"/>
      <c r="S6" s="10"/>
    </row>
    <row r="7" ht="22.5" customHeight="1">
      <c r="A7" s="21"/>
      <c r="B7" s="22" t="str">
        <f t="array" ref="B7">XLOOKUP($A7,Skills[Action],Skills[Icon],"")</f>
        <v/>
      </c>
      <c r="C7" s="23" t="str">
        <f t="array" ref="C7">XLOOKUP(A7,Skills[Action],Skills[H],"")</f>
        <v/>
      </c>
      <c r="D7" s="23" t="str">
        <f t="array" ref="D7">XLOOKUP($A7,Skills[Action],Skills[HOT_H(tick)],"")</f>
        <v/>
      </c>
      <c r="E7" s="23">
        <f t="array" ref="E7">XLOOKUP($A7,Skills[Action],Skills[Barrier_H],"")+XLOOKUP($A7,Skills[Action],Skills[HP_Barrier_H],"")</f>
        <v>0</v>
      </c>
      <c r="F7" s="23">
        <f t="array" ref="F7">XLOOKUP($A7,Skills[Action],Skills[HOT_H(tick)],"")*(XLOOKUP($A7,Skills[Action],Skills[Duration],"")/3)</f>
        <v>0</v>
      </c>
      <c r="G7" s="10"/>
      <c r="H7" s="21"/>
      <c r="I7" s="24">
        <f t="array" ref="I7">iferror(if(XLOOKUP(バフ[スキル],Skills[Action],Skills[Buff])=false,1,XLOOKUP(バフ[スキル],Skills[Action],Skills[Buff])),1)</f>
        <v>1</v>
      </c>
      <c r="J7" s="10"/>
      <c r="K7" s="10"/>
      <c r="L7" s="10"/>
      <c r="M7" s="10"/>
      <c r="N7" s="10"/>
      <c r="O7" s="10"/>
      <c r="P7" s="10"/>
      <c r="Q7" s="10"/>
      <c r="R7" s="10"/>
      <c r="S7" s="10"/>
    </row>
    <row r="8" ht="22.5" customHeight="1">
      <c r="A8" s="21"/>
      <c r="B8" s="22" t="str">
        <f t="array" ref="B8">XLOOKUP($A8,Skills[Action],Skills[Icon],"")</f>
        <v/>
      </c>
      <c r="C8" s="23" t="str">
        <f t="array" ref="C8">XLOOKUP(A8,Skills[Action],Skills[H],"")</f>
        <v/>
      </c>
      <c r="D8" s="23" t="str">
        <f t="array" ref="D8">XLOOKUP($A8,Skills[Action],Skills[HOT_H(tick)],"")</f>
        <v/>
      </c>
      <c r="E8" s="23">
        <f t="array" ref="E8">XLOOKUP($A8,Skills[Action],Skills[Barrier_H],"")+XLOOKUP($A8,Skills[Action],Skills[HP_Barrier_H],"")</f>
        <v>0</v>
      </c>
      <c r="F8" s="23">
        <f t="array" ref="F8">XLOOKUP($A8,Skills[Action],Skills[HOT_H(tick)],"")*(XLOOKUP($A8,Skills[Action],Skills[Duration],"")/3)</f>
        <v>0</v>
      </c>
      <c r="G8" s="10"/>
      <c r="H8" s="21"/>
      <c r="I8" s="24">
        <f t="array" ref="I8">iferror(if(XLOOKUP(バフ[スキル],Skills[Action],Skills[Buff])=false,1,XLOOKUP(バフ[スキル],Skills[Action],Skills[Buff])),1)</f>
        <v>1</v>
      </c>
      <c r="J8" s="10"/>
      <c r="K8" s="10"/>
      <c r="L8" s="10"/>
      <c r="M8" s="10"/>
      <c r="N8" s="10"/>
      <c r="O8" s="10"/>
      <c r="P8" s="10"/>
      <c r="Q8" s="10"/>
      <c r="R8" s="10"/>
      <c r="S8" s="10"/>
    </row>
    <row r="9" ht="22.5" customHeight="1">
      <c r="A9" s="21"/>
      <c r="B9" s="22" t="str">
        <f t="array" ref="B9">XLOOKUP($A9,Skills[Action],Skills[Icon],"")</f>
        <v/>
      </c>
      <c r="C9" s="23" t="str">
        <f t="array" ref="C9">XLOOKUP(A9,Skills[Action],Skills[H],"")</f>
        <v/>
      </c>
      <c r="D9" s="23" t="str">
        <f t="array" ref="D9">XLOOKUP($A9,Skills[Action],Skills[HOT_H(tick)],"")</f>
        <v/>
      </c>
      <c r="E9" s="23">
        <f t="array" ref="E9">XLOOKUP($A9,Skills[Action],Skills[Barrier_H],"")+XLOOKUP($A9,Skills[Action],Skills[HP_Barrier_H],"")</f>
        <v>0</v>
      </c>
      <c r="F9" s="23">
        <f t="array" ref="F9">XLOOKUP($A9,Skills[Action],Skills[HOT_H(tick)],"")*(XLOOKUP($A9,Skills[Action],Skills[Duration],"")/3)</f>
        <v>0</v>
      </c>
      <c r="G9" s="10"/>
      <c r="H9" s="21"/>
      <c r="I9" s="24">
        <f t="array" ref="I9">iferror(if(XLOOKUP(バフ[スキル],Skills[Action],Skills[Buff])=false,1,XLOOKUP(バフ[スキル],Skills[Action],Skills[Buff])),1)</f>
        <v>1</v>
      </c>
      <c r="J9" s="10"/>
      <c r="K9" s="10"/>
      <c r="L9" s="10"/>
      <c r="M9" s="10"/>
      <c r="N9" s="10"/>
      <c r="O9" s="10"/>
      <c r="P9" s="10"/>
      <c r="Q9" s="10"/>
      <c r="R9" s="10"/>
      <c r="S9" s="10"/>
    </row>
    <row r="10" ht="22.5" customHeight="1">
      <c r="A10" s="21"/>
      <c r="B10" s="22" t="str">
        <f t="array" ref="B10">XLOOKUP($A10,Skills[Action],Skills[Icon],"")</f>
        <v/>
      </c>
      <c r="C10" s="23" t="str">
        <f t="array" ref="C10">XLOOKUP(A10,Skills[Action],Skills[H],"")</f>
        <v/>
      </c>
      <c r="D10" s="23" t="str">
        <f t="array" ref="D10">XLOOKUP($A10,Skills[Action],Skills[HOT_H(tick)],"")</f>
        <v/>
      </c>
      <c r="E10" s="23">
        <f t="array" ref="E10">XLOOKUP($A10,Skills[Action],Skills[Barrier_H],"")+XLOOKUP($A10,Skills[Action],Skills[HP_Barrier_H],"")</f>
        <v>0</v>
      </c>
      <c r="F10" s="23">
        <f t="array" ref="F10">XLOOKUP($A10,Skills[Action],Skills[HOT_H(tick)],"")*(XLOOKUP($A10,Skills[Action],Skills[Duration],"")/3)</f>
        <v>0</v>
      </c>
      <c r="G10" s="10"/>
      <c r="H10" s="25"/>
      <c r="I10" s="26">
        <f t="array" ref="I10">iferror(if(XLOOKUP(バフ[スキル],Skills[Action],Skills[Buff])=false,1,XLOOKUP(バフ[スキル],Skills[Action],Skills[Buff])),1)</f>
        <v>1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ht="22.5" customHeight="1">
      <c r="A11" s="21"/>
      <c r="B11" s="22" t="str">
        <f t="array" ref="B11">XLOOKUP($A11,Skills[Action],Skills[Icon],"")</f>
        <v/>
      </c>
      <c r="C11" s="23" t="str">
        <f t="array" ref="C11">XLOOKUP(A11,Skills[Action],Skills[H],"")</f>
        <v/>
      </c>
      <c r="D11" s="23" t="str">
        <f t="array" ref="D11">XLOOKUP($A11,Skills[Action],Skills[HOT_H(tick)],"")</f>
        <v/>
      </c>
      <c r="E11" s="23">
        <f t="array" ref="E11">XLOOKUP($A11,Skills[Action],Skills[Barrier_H],"")+XLOOKUP($A11,Skills[Action],Skills[HP_Barrier_H],"")</f>
        <v>0</v>
      </c>
      <c r="F11" s="23">
        <f t="array" ref="F11">XLOOKUP($A11,Skills[Action],Skills[HOT_H(tick)],"")*(XLOOKUP($A11,Skills[Action],Skills[Duration],"")/3)</f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ht="22.5" customHeight="1">
      <c r="A12" s="21"/>
      <c r="B12" s="22" t="str">
        <f t="array" ref="B12">XLOOKUP($A12,Skills[Action],Skills[Icon],"")</f>
        <v/>
      </c>
      <c r="C12" s="23" t="str">
        <f t="array" ref="C12">XLOOKUP(A12,Skills[Action],Skills[H],"")</f>
        <v/>
      </c>
      <c r="D12" s="23" t="str">
        <f t="array" ref="D12">XLOOKUP($A12,Skills[Action],Skills[HOT_H(tick)],"")</f>
        <v/>
      </c>
      <c r="E12" s="23">
        <f t="array" ref="E12">XLOOKUP($A12,Skills[Action],Skills[Barrier_H],"")+XLOOKUP($A12,Skills[Action],Skills[HP_Barrier_H],"")</f>
        <v>0</v>
      </c>
      <c r="F12" s="23">
        <f t="array" ref="F12">XLOOKUP($A12,Skills[Action],Skills[HOT_H(tick)],"")*(XLOOKUP($A12,Skills[Action],Skills[Duration],"")/3)</f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ht="22.5" customHeight="1">
      <c r="A13" s="21"/>
      <c r="B13" s="22" t="str">
        <f t="array" ref="B13">XLOOKUP($A13,Skills[Action],Skills[Icon],"")</f>
        <v/>
      </c>
      <c r="C13" s="23" t="str">
        <f t="array" ref="C13">XLOOKUP(A13,Skills[Action],Skills[H],"")</f>
        <v/>
      </c>
      <c r="D13" s="23" t="str">
        <f t="array" ref="D13">XLOOKUP($A13,Skills[Action],Skills[HOT_H(tick)],"")</f>
        <v/>
      </c>
      <c r="E13" s="23">
        <f t="array" ref="E13">XLOOKUP($A13,Skills[Action],Skills[Barrier_H],"")+XLOOKUP($A13,Skills[Action],Skills[HP_Barrier_H],"")</f>
        <v>0</v>
      </c>
      <c r="F13" s="23">
        <f t="array" ref="F13">XLOOKUP($A13,Skills[Action],Skills[HOT_H(tick)],"")*(XLOOKUP($A13,Skills[Action],Skills[Duration],"")/3)</f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ht="22.5" customHeight="1">
      <c r="A14" s="21"/>
      <c r="B14" s="22" t="str">
        <f t="array" ref="B14">XLOOKUP($A14,Skills[Action],Skills[Icon],"")</f>
        <v/>
      </c>
      <c r="C14" s="23" t="str">
        <f t="array" ref="C14">XLOOKUP(A14,Skills[Action],Skills[H],"")</f>
        <v/>
      </c>
      <c r="D14" s="23" t="str">
        <f t="array" ref="D14">XLOOKUP($A14,Skills[Action],Skills[HOT_H(tick)],"")</f>
        <v/>
      </c>
      <c r="E14" s="23">
        <f t="array" ref="E14">XLOOKUP($A14,Skills[Action],Skills[Barrier_H],"")+XLOOKUP($A14,Skills[Action],Skills[HP_Barrier_H],"")</f>
        <v>0</v>
      </c>
      <c r="F14" s="23">
        <f t="array" ref="F14">XLOOKUP($A14,Skills[Action],Skills[HOT_H(tick)],"")*(XLOOKUP($A14,Skills[Action],Skills[Duration],"")/3)</f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ht="22.5" customHeight="1">
      <c r="A15" s="21"/>
      <c r="B15" s="22" t="str">
        <f t="array" ref="B15">XLOOKUP($A15,Skills[Action],Skills[Icon],"")</f>
        <v/>
      </c>
      <c r="C15" s="23" t="str">
        <f t="array" ref="C15">XLOOKUP(A15,Skills[Action],Skills[H],"")</f>
        <v/>
      </c>
      <c r="D15" s="23" t="str">
        <f t="array" ref="D15">XLOOKUP($A15,Skills[Action],Skills[HOT_H(tick)],"")</f>
        <v/>
      </c>
      <c r="E15" s="23">
        <f t="array" ref="E15">XLOOKUP($A15,Skills[Action],Skills[Barrier_H],"")+XLOOKUP($A15,Skills[Action],Skills[HP_Barrier_H],"")</f>
        <v>0</v>
      </c>
      <c r="F15" s="23">
        <f t="array" ref="F15">XLOOKUP($A15,Skills[Action],Skills[HOT_H(tick)],"")*(XLOOKUP($A15,Skills[Action],Skills[Duration],"")/3)</f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ht="22.5" customHeight="1">
      <c r="A16" s="21"/>
      <c r="B16" s="22" t="str">
        <f t="array" ref="B16">XLOOKUP($A16,Skills[Action],Skills[Icon],"")</f>
        <v/>
      </c>
      <c r="C16" s="23" t="str">
        <f t="array" ref="C16">XLOOKUP(A16,Skills[Action],Skills[H],"")</f>
        <v/>
      </c>
      <c r="D16" s="23" t="str">
        <f t="array" ref="D16">XLOOKUP($A16,Skills[Action],Skills[HOT_H(tick)],"")</f>
        <v/>
      </c>
      <c r="E16" s="23">
        <f t="array" ref="E16">XLOOKUP($A16,Skills[Action],Skills[Barrier_H],"")+XLOOKUP($A16,Skills[Action],Skills[HP_Barrier_H],"")</f>
        <v>0</v>
      </c>
      <c r="F16" s="23">
        <f t="array" ref="F16">XLOOKUP($A16,Skills[Action],Skills[HOT_H(tick)],"")*(XLOOKUP($A16,Skills[Action],Skills[Duration],"")/3)</f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ht="22.5" customHeight="1">
      <c r="A17" s="21"/>
      <c r="B17" s="22" t="str">
        <f t="array" ref="B17">XLOOKUP($A17,Skills[Action],Skills[Icon],"")</f>
        <v/>
      </c>
      <c r="C17" s="23" t="str">
        <f t="array" ref="C17">XLOOKUP(A17,Skills[Action],Skills[H],"")</f>
        <v/>
      </c>
      <c r="D17" s="23" t="str">
        <f t="array" ref="D17">XLOOKUP($A17,Skills[Action],Skills[HOT_H(tick)],"")</f>
        <v/>
      </c>
      <c r="E17" s="23">
        <f t="array" ref="E17">XLOOKUP($A17,Skills[Action],Skills[Barrier_H],"")+XLOOKUP($A17,Skills[Action],Skills[HP_Barrier_H],"")</f>
        <v>0</v>
      </c>
      <c r="F17" s="23">
        <f t="array" ref="F17">XLOOKUP($A17,Skills[Action],Skills[HOT_H(tick)],"")*(XLOOKUP($A17,Skills[Action],Skills[Duration],"")/3)</f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ht="22.5" customHeight="1">
      <c r="A18" s="21"/>
      <c r="B18" s="22" t="str">
        <f t="array" ref="B18">XLOOKUP($A18,Skills[Action],Skills[Icon],"")</f>
        <v/>
      </c>
      <c r="C18" s="23" t="str">
        <f t="array" ref="C18">XLOOKUP(A18,Skills[Action],Skills[H],"")</f>
        <v/>
      </c>
      <c r="D18" s="23" t="str">
        <f t="array" ref="D18">XLOOKUP($A18,Skills[Action],Skills[HOT_H(tick)],"")</f>
        <v/>
      </c>
      <c r="E18" s="23">
        <f t="array" ref="E18">XLOOKUP($A18,Skills[Action],Skills[Barrier_H],"")+XLOOKUP($A18,Skills[Action],Skills[HP_Barrier_H],"")</f>
        <v>0</v>
      </c>
      <c r="F18" s="23">
        <f t="array" ref="F18">XLOOKUP($A18,Skills[Action],Skills[HOT_H(tick)],"")*(XLOOKUP($A18,Skills[Action],Skills[Duration],"")/3)</f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ht="22.5" customHeight="1">
      <c r="A19" s="21"/>
      <c r="B19" s="22" t="str">
        <f t="array" ref="B19">XLOOKUP($A19,Skills[Action],Skills[Icon],"")</f>
        <v/>
      </c>
      <c r="C19" s="23" t="str">
        <f t="array" ref="C19">XLOOKUP(A19,Skills[Action],Skills[H],"")</f>
        <v/>
      </c>
      <c r="D19" s="23" t="str">
        <f t="array" ref="D19">XLOOKUP($A19,Skills[Action],Skills[HOT_H(tick)],"")</f>
        <v/>
      </c>
      <c r="E19" s="23">
        <f t="array" ref="E19">XLOOKUP($A19,Skills[Action],Skills[Barrier_H],"")+XLOOKUP($A19,Skills[Action],Skills[HP_Barrier_H],"")</f>
        <v>0</v>
      </c>
      <c r="F19" s="23">
        <f t="array" ref="F19">XLOOKUP($A19,Skills[Action],Skills[HOT_H(tick)],"")*(XLOOKUP($A19,Skills[Action],Skills[Duration],"")/3)</f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>
      <c r="A20" s="27"/>
      <c r="B20" s="10"/>
      <c r="C20" s="28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>
      <c r="A21" s="27"/>
      <c r="B21" s="10"/>
      <c r="C21" s="28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>
      <c r="A22" s="27"/>
      <c r="B22" s="10"/>
      <c r="C22" s="28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>
      <c r="A23" s="27"/>
      <c r="B23" s="10"/>
      <c r="C23" s="28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>
      <c r="A24" s="27"/>
      <c r="B24" s="10"/>
      <c r="C24" s="28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>
      <c r="A25" s="27"/>
      <c r="B25" s="10"/>
      <c r="C25" s="28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>
      <c r="A26" s="27"/>
      <c r="B26" s="10"/>
      <c r="C26" s="28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>
      <c r="A27" s="27"/>
      <c r="B27" s="10"/>
      <c r="C27" s="28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>
      <c r="A28" s="27"/>
      <c r="B28" s="10"/>
      <c r="C28" s="28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>
      <c r="A29" s="27"/>
      <c r="B29" s="10"/>
      <c r="C29" s="28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>
      <c r="A30" s="27"/>
      <c r="B30" s="10"/>
      <c r="C30" s="28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>
      <c r="A31" s="27"/>
      <c r="B31" s="10"/>
      <c r="C31" s="28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>
      <c r="A32" s="27"/>
      <c r="B32" s="10"/>
      <c r="C32" s="28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>
      <c r="A33" s="27"/>
      <c r="B33" s="10"/>
      <c r="C33" s="28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>
      <c r="A34" s="27"/>
      <c r="B34" s="10"/>
      <c r="C34" s="28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>
      <c r="A35" s="27"/>
      <c r="B35" s="10"/>
      <c r="C35" s="28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>
      <c r="A36" s="27"/>
      <c r="B36" s="10"/>
      <c r="C36" s="28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>
      <c r="A37" s="27"/>
      <c r="B37" s="10"/>
      <c r="C37" s="28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>
      <c r="A38" s="27"/>
      <c r="B38" s="10"/>
      <c r="C38" s="28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>
      <c r="A39" s="27"/>
      <c r="B39" s="10"/>
      <c r="C39" s="28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>
      <c r="A40" s="27"/>
      <c r="B40" s="10"/>
      <c r="C40" s="28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>
      <c r="A41" s="27"/>
      <c r="B41" s="10"/>
      <c r="C41" s="28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>
      <c r="A42" s="27"/>
      <c r="B42" s="10"/>
      <c r="C42" s="28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>
      <c r="A43" s="27"/>
      <c r="B43" s="10"/>
      <c r="C43" s="28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>
      <c r="A44" s="27"/>
      <c r="B44" s="10"/>
      <c r="C44" s="28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>
      <c r="A45" s="27"/>
      <c r="B45" s="10"/>
      <c r="C45" s="28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>
      <c r="A46" s="27"/>
      <c r="B46" s="10"/>
      <c r="C46" s="28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>
      <c r="A47" s="27"/>
      <c r="B47" s="10"/>
      <c r="C47" s="28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>
      <c r="A48" s="27"/>
      <c r="B48" s="10"/>
      <c r="C48" s="28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>
      <c r="A49" s="27"/>
      <c r="B49" s="10"/>
      <c r="C49" s="28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>
      <c r="A50" s="27"/>
      <c r="B50" s="10"/>
      <c r="C50" s="28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>
      <c r="A51" s="27"/>
      <c r="B51" s="10"/>
      <c r="C51" s="28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>
      <c r="A52" s="27"/>
      <c r="B52" s="10"/>
      <c r="C52" s="28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>
      <c r="A53" s="27"/>
      <c r="B53" s="10"/>
      <c r="C53" s="28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>
      <c r="A54" s="27"/>
      <c r="B54" s="10"/>
      <c r="C54" s="28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>
      <c r="A55" s="27"/>
      <c r="B55" s="10"/>
      <c r="C55" s="28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>
      <c r="A56" s="27"/>
      <c r="B56" s="10"/>
      <c r="C56" s="28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>
      <c r="A57" s="27"/>
      <c r="B57" s="10"/>
      <c r="C57" s="28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>
      <c r="A58" s="27"/>
      <c r="B58" s="10"/>
      <c r="C58" s="28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>
      <c r="A59" s="27"/>
      <c r="B59" s="10"/>
      <c r="C59" s="28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>
      <c r="A60" s="27"/>
      <c r="B60" s="10"/>
      <c r="C60" s="28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>
      <c r="A61" s="27"/>
      <c r="B61" s="10"/>
      <c r="C61" s="28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>
      <c r="A62" s="27"/>
      <c r="B62" s="10"/>
      <c r="C62" s="28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>
      <c r="A63" s="27"/>
      <c r="B63" s="10"/>
      <c r="C63" s="28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>
      <c r="A64" s="27"/>
      <c r="B64" s="10"/>
      <c r="C64" s="28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>
      <c r="A65" s="27"/>
      <c r="B65" s="10"/>
      <c r="C65" s="28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>
      <c r="A66" s="27"/>
      <c r="B66" s="10"/>
      <c r="C66" s="28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>
      <c r="A67" s="27"/>
      <c r="B67" s="10"/>
      <c r="C67" s="28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>
      <c r="A68" s="27"/>
      <c r="B68" s="10"/>
      <c r="C68" s="28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>
      <c r="A69" s="27"/>
      <c r="B69" s="10"/>
      <c r="C69" s="28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>
      <c r="A70" s="27"/>
      <c r="B70" s="10"/>
      <c r="C70" s="28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>
      <c r="A71" s="27"/>
      <c r="B71" s="10"/>
      <c r="C71" s="28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>
      <c r="A72" s="27"/>
      <c r="B72" s="10"/>
      <c r="C72" s="28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>
      <c r="A73" s="27"/>
      <c r="B73" s="10"/>
      <c r="C73" s="28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>
      <c r="A74" s="27"/>
      <c r="B74" s="10"/>
      <c r="C74" s="28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>
      <c r="A75" s="27"/>
      <c r="B75" s="10"/>
      <c r="C75" s="28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>
      <c r="A76" s="27"/>
      <c r="B76" s="10"/>
      <c r="C76" s="28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>
      <c r="A77" s="27"/>
      <c r="B77" s="10"/>
      <c r="C77" s="28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>
      <c r="A78" s="27"/>
      <c r="B78" s="10"/>
      <c r="C78" s="28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>
      <c r="A79" s="27"/>
      <c r="B79" s="10"/>
      <c r="C79" s="28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>
      <c r="A80" s="27"/>
      <c r="B80" s="10"/>
      <c r="C80" s="28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>
      <c r="A81" s="27"/>
      <c r="B81" s="10"/>
      <c r="C81" s="28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>
      <c r="A82" s="27"/>
      <c r="B82" s="10"/>
      <c r="C82" s="28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>
      <c r="A83" s="27"/>
      <c r="B83" s="10"/>
      <c r="C83" s="28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>
      <c r="A84" s="27"/>
      <c r="B84" s="10"/>
      <c r="C84" s="28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>
      <c r="A85" s="27"/>
      <c r="B85" s="10"/>
      <c r="C85" s="28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>
      <c r="A86" s="27"/>
      <c r="B86" s="10"/>
      <c r="C86" s="28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>
      <c r="A87" s="27"/>
      <c r="B87" s="10"/>
      <c r="C87" s="28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>
      <c r="A88" s="27"/>
      <c r="B88" s="10"/>
      <c r="C88" s="28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>
      <c r="A89" s="27"/>
      <c r="B89" s="10"/>
      <c r="C89" s="28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>
      <c r="A90" s="27"/>
      <c r="B90" s="10"/>
      <c r="C90" s="2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>
      <c r="A91" s="27"/>
      <c r="B91" s="10"/>
      <c r="C91" s="28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>
      <c r="A92" s="27"/>
      <c r="B92" s="10"/>
      <c r="C92" s="28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>
      <c r="A93" s="27"/>
      <c r="B93" s="10"/>
      <c r="C93" s="28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>
      <c r="A94" s="27"/>
      <c r="B94" s="10"/>
      <c r="C94" s="28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>
      <c r="A95" s="27"/>
      <c r="B95" s="10"/>
      <c r="C95" s="28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>
      <c r="A96" s="27"/>
      <c r="B96" s="10"/>
      <c r="C96" s="28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>
      <c r="A97" s="27"/>
      <c r="B97" s="10"/>
      <c r="C97" s="28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>
      <c r="A98" s="27"/>
      <c r="B98" s="10"/>
      <c r="C98" s="28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>
      <c r="A99" s="27"/>
      <c r="B99" s="10"/>
      <c r="C99" s="28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>
      <c r="A100" s="27"/>
      <c r="B100" s="10"/>
      <c r="C100" s="28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>
      <c r="A101" s="27"/>
      <c r="B101" s="10"/>
      <c r="C101" s="28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>
      <c r="A102" s="27"/>
      <c r="B102" s="10"/>
      <c r="C102" s="28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>
      <c r="A103" s="27"/>
      <c r="B103" s="10"/>
      <c r="C103" s="28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>
      <c r="A104" s="27"/>
      <c r="B104" s="10"/>
      <c r="C104" s="28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>
      <c r="A105" s="27"/>
      <c r="B105" s="10"/>
      <c r="C105" s="28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>
      <c r="A106" s="27"/>
      <c r="B106" s="10"/>
      <c r="C106" s="28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>
      <c r="A107" s="27"/>
      <c r="B107" s="10"/>
      <c r="C107" s="28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>
      <c r="A108" s="27"/>
      <c r="B108" s="10"/>
      <c r="C108" s="28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>
      <c r="A109" s="27"/>
      <c r="B109" s="10"/>
      <c r="C109" s="28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>
      <c r="A110" s="27"/>
      <c r="B110" s="10"/>
      <c r="C110" s="28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>
      <c r="A111" s="27"/>
      <c r="B111" s="10"/>
      <c r="C111" s="28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>
      <c r="A112" s="27"/>
      <c r="B112" s="10"/>
      <c r="C112" s="28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>
      <c r="A113" s="27"/>
      <c r="B113" s="10"/>
      <c r="C113" s="28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>
      <c r="A114" s="27"/>
      <c r="B114" s="10"/>
      <c r="C114" s="28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>
      <c r="A115" s="27"/>
      <c r="B115" s="10"/>
      <c r="C115" s="28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>
      <c r="A116" s="27"/>
      <c r="B116" s="10"/>
      <c r="C116" s="28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>
      <c r="A117" s="27"/>
      <c r="B117" s="10"/>
      <c r="C117" s="28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>
      <c r="A118" s="27"/>
      <c r="B118" s="10"/>
      <c r="C118" s="28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>
      <c r="A119" s="27"/>
      <c r="B119" s="10"/>
      <c r="C119" s="28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>
      <c r="A120" s="27"/>
      <c r="B120" s="10"/>
      <c r="C120" s="28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>
      <c r="A121" s="27"/>
      <c r="B121" s="10"/>
      <c r="C121" s="28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>
      <c r="A122" s="27"/>
      <c r="B122" s="10"/>
      <c r="C122" s="28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>
      <c r="A123" s="27"/>
      <c r="B123" s="10"/>
      <c r="C123" s="28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4">
      <c r="A124" s="27"/>
      <c r="B124" s="10"/>
      <c r="C124" s="28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>
      <c r="A125" s="27"/>
      <c r="B125" s="10"/>
      <c r="C125" s="28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>
      <c r="A126" s="27"/>
      <c r="B126" s="10"/>
      <c r="C126" s="28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>
      <c r="A127" s="27"/>
      <c r="B127" s="10"/>
      <c r="C127" s="28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>
      <c r="A128" s="27"/>
      <c r="B128" s="10"/>
      <c r="C128" s="28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>
      <c r="A129" s="27"/>
      <c r="B129" s="10"/>
      <c r="C129" s="28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>
      <c r="A130" s="27"/>
      <c r="B130" s="10"/>
      <c r="C130" s="28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>
      <c r="A131" s="27"/>
      <c r="B131" s="10"/>
      <c r="C131" s="28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>
      <c r="A132" s="27"/>
      <c r="B132" s="10"/>
      <c r="C132" s="28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>
      <c r="A133" s="27"/>
      <c r="B133" s="10"/>
      <c r="C133" s="28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>
      <c r="A134" s="27"/>
      <c r="B134" s="10"/>
      <c r="C134" s="28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>
      <c r="A135" s="27"/>
      <c r="B135" s="10"/>
      <c r="C135" s="28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>
      <c r="A136" s="27"/>
      <c r="B136" s="10"/>
      <c r="C136" s="28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>
      <c r="A137" s="27"/>
      <c r="B137" s="10"/>
      <c r="C137" s="28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>
      <c r="A138" s="27"/>
      <c r="B138" s="10"/>
      <c r="C138" s="28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>
      <c r="A139" s="27"/>
      <c r="B139" s="10"/>
      <c r="C139" s="28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>
      <c r="A140" s="27"/>
      <c r="B140" s="10"/>
      <c r="C140" s="28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>
      <c r="A141" s="27"/>
      <c r="B141" s="10"/>
      <c r="C141" s="28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>
      <c r="A142" s="27"/>
      <c r="B142" s="10"/>
      <c r="C142" s="28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>
      <c r="A143" s="27"/>
      <c r="B143" s="10"/>
      <c r="C143" s="28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>
      <c r="A144" s="27"/>
      <c r="B144" s="10"/>
      <c r="C144" s="28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>
      <c r="A145" s="27"/>
      <c r="B145" s="10"/>
      <c r="C145" s="28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>
      <c r="A146" s="27"/>
      <c r="B146" s="10"/>
      <c r="C146" s="28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>
      <c r="A147" s="27"/>
      <c r="B147" s="10"/>
      <c r="C147" s="28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>
      <c r="A148" s="27"/>
      <c r="B148" s="10"/>
      <c r="C148" s="28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>
      <c r="A149" s="27"/>
      <c r="B149" s="10"/>
      <c r="C149" s="28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>
      <c r="A150" s="27"/>
      <c r="B150" s="10"/>
      <c r="C150" s="28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>
      <c r="A151" s="27"/>
      <c r="B151" s="10"/>
      <c r="C151" s="28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>
      <c r="A152" s="27"/>
      <c r="B152" s="10"/>
      <c r="C152" s="28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>
      <c r="A153" s="27"/>
      <c r="B153" s="10"/>
      <c r="C153" s="28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</row>
    <row r="154">
      <c r="A154" s="27"/>
      <c r="B154" s="10"/>
      <c r="C154" s="28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>
      <c r="A155" s="27"/>
      <c r="B155" s="10"/>
      <c r="C155" s="28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>
      <c r="A156" s="27"/>
      <c r="B156" s="10"/>
      <c r="C156" s="28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>
      <c r="A157" s="27"/>
      <c r="B157" s="10"/>
      <c r="C157" s="28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>
      <c r="A158" s="27"/>
      <c r="B158" s="10"/>
      <c r="C158" s="28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>
      <c r="A159" s="27"/>
      <c r="B159" s="10"/>
      <c r="C159" s="28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>
      <c r="A160" s="27"/>
      <c r="B160" s="10"/>
      <c r="C160" s="28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>
      <c r="A161" s="27"/>
      <c r="B161" s="10"/>
      <c r="C161" s="28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>
      <c r="A162" s="27"/>
      <c r="B162" s="10"/>
      <c r="C162" s="28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>
      <c r="A163" s="27"/>
      <c r="B163" s="10"/>
      <c r="C163" s="28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>
      <c r="A164" s="27"/>
      <c r="B164" s="10"/>
      <c r="C164" s="28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>
      <c r="A165" s="27"/>
      <c r="B165" s="10"/>
      <c r="C165" s="28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>
      <c r="A166" s="27"/>
      <c r="B166" s="10"/>
      <c r="C166" s="28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>
      <c r="A167" s="27"/>
      <c r="B167" s="10"/>
      <c r="C167" s="28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>
      <c r="A168" s="27"/>
      <c r="B168" s="10"/>
      <c r="C168" s="28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>
      <c r="A169" s="27"/>
      <c r="B169" s="10"/>
      <c r="C169" s="2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>
      <c r="A170" s="27"/>
      <c r="B170" s="10"/>
      <c r="C170" s="28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>
      <c r="A171" s="27"/>
      <c r="B171" s="10"/>
      <c r="C171" s="28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>
      <c r="A172" s="27"/>
      <c r="B172" s="10"/>
      <c r="C172" s="28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>
      <c r="A173" s="27"/>
      <c r="B173" s="10"/>
      <c r="C173" s="28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>
      <c r="A174" s="27"/>
      <c r="B174" s="10"/>
      <c r="C174" s="28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>
      <c r="A175" s="27"/>
      <c r="B175" s="10"/>
      <c r="C175" s="28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>
      <c r="A176" s="27"/>
      <c r="B176" s="10"/>
      <c r="C176" s="28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>
      <c r="A177" s="27"/>
      <c r="B177" s="10"/>
      <c r="C177" s="28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>
      <c r="A178" s="27"/>
      <c r="B178" s="10"/>
      <c r="C178" s="28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>
      <c r="A179" s="27"/>
      <c r="B179" s="10"/>
      <c r="C179" s="28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>
      <c r="A180" s="27"/>
      <c r="B180" s="10"/>
      <c r="C180" s="28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>
      <c r="A181" s="27"/>
      <c r="B181" s="10"/>
      <c r="C181" s="28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>
      <c r="A182" s="27"/>
      <c r="B182" s="10"/>
      <c r="C182" s="28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>
      <c r="A183" s="27"/>
      <c r="B183" s="10"/>
      <c r="C183" s="28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>
      <c r="A184" s="27"/>
      <c r="B184" s="10"/>
      <c r="C184" s="28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>
      <c r="A185" s="27"/>
      <c r="B185" s="10"/>
      <c r="C185" s="28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>
      <c r="A186" s="27"/>
      <c r="B186" s="10"/>
      <c r="C186" s="28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>
      <c r="A187" s="27"/>
      <c r="B187" s="10"/>
      <c r="C187" s="28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>
      <c r="A188" s="27"/>
      <c r="B188" s="10"/>
      <c r="C188" s="28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>
      <c r="A189" s="27"/>
      <c r="B189" s="10"/>
      <c r="C189" s="28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>
      <c r="A190" s="27"/>
      <c r="B190" s="10"/>
      <c r="C190" s="28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>
      <c r="A191" s="27"/>
      <c r="B191" s="10"/>
      <c r="C191" s="28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>
      <c r="A192" s="27"/>
      <c r="B192" s="10"/>
      <c r="C192" s="28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>
      <c r="A193" s="27"/>
      <c r="B193" s="10"/>
      <c r="C193" s="28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>
      <c r="A194" s="27"/>
      <c r="B194" s="10"/>
      <c r="C194" s="28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>
      <c r="A195" s="27"/>
      <c r="B195" s="10"/>
      <c r="C195" s="28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>
      <c r="A196" s="27"/>
      <c r="B196" s="10"/>
      <c r="C196" s="28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>
      <c r="A197" s="27"/>
      <c r="B197" s="10"/>
      <c r="C197" s="28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>
      <c r="A198" s="27"/>
      <c r="B198" s="10"/>
      <c r="C198" s="28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>
      <c r="A199" s="27"/>
      <c r="B199" s="10"/>
      <c r="C199" s="28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>
      <c r="A200" s="27"/>
      <c r="B200" s="10"/>
      <c r="C200" s="28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</row>
    <row r="201">
      <c r="A201" s="27"/>
      <c r="B201" s="10"/>
      <c r="C201" s="28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>
      <c r="A202" s="27"/>
      <c r="B202" s="10"/>
      <c r="C202" s="28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</row>
    <row r="203">
      <c r="A203" s="27"/>
      <c r="B203" s="10"/>
      <c r="C203" s="28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  <row r="204">
      <c r="A204" s="27"/>
      <c r="B204" s="10"/>
      <c r="C204" s="28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</row>
    <row r="205">
      <c r="A205" s="27"/>
      <c r="B205" s="10"/>
      <c r="C205" s="28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</row>
    <row r="206">
      <c r="A206" s="27"/>
      <c r="B206" s="10"/>
      <c r="C206" s="28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</row>
    <row r="207">
      <c r="A207" s="27"/>
      <c r="B207" s="10"/>
      <c r="C207" s="28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</row>
    <row r="208">
      <c r="A208" s="27"/>
      <c r="B208" s="10"/>
      <c r="C208" s="28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</row>
    <row r="209">
      <c r="A209" s="27"/>
      <c r="B209" s="10"/>
      <c r="C209" s="28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</row>
    <row r="210">
      <c r="A210" s="27"/>
      <c r="B210" s="10"/>
      <c r="C210" s="28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</row>
    <row r="211">
      <c r="A211" s="27"/>
      <c r="B211" s="10"/>
      <c r="C211" s="28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</row>
    <row r="212">
      <c r="A212" s="27"/>
      <c r="B212" s="10"/>
      <c r="C212" s="28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</row>
    <row r="213">
      <c r="A213" s="27"/>
      <c r="B213" s="10"/>
      <c r="C213" s="28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</row>
    <row r="214">
      <c r="A214" s="27"/>
      <c r="B214" s="10"/>
      <c r="C214" s="28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</row>
    <row r="215">
      <c r="A215" s="27"/>
      <c r="B215" s="10"/>
      <c r="C215" s="28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</row>
    <row r="216">
      <c r="A216" s="27"/>
      <c r="B216" s="10"/>
      <c r="C216" s="28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</row>
    <row r="217">
      <c r="A217" s="27"/>
      <c r="B217" s="10"/>
      <c r="C217" s="28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</row>
    <row r="218">
      <c r="A218" s="27"/>
      <c r="B218" s="10"/>
      <c r="C218" s="28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</row>
    <row r="219">
      <c r="A219" s="27"/>
      <c r="B219" s="10"/>
      <c r="C219" s="28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0">
      <c r="A220" s="27"/>
      <c r="B220" s="10"/>
      <c r="C220" s="28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</row>
    <row r="221">
      <c r="A221" s="27"/>
      <c r="B221" s="10"/>
      <c r="C221" s="28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</row>
    <row r="222">
      <c r="A222" s="27"/>
      <c r="B222" s="10"/>
      <c r="C222" s="28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</row>
    <row r="223">
      <c r="A223" s="27"/>
      <c r="B223" s="10"/>
      <c r="C223" s="28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</row>
    <row r="224">
      <c r="A224" s="27"/>
      <c r="B224" s="10"/>
      <c r="C224" s="28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>
      <c r="A225" s="27"/>
      <c r="B225" s="10"/>
      <c r="C225" s="28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</row>
    <row r="226">
      <c r="A226" s="27"/>
      <c r="B226" s="10"/>
      <c r="C226" s="28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</row>
    <row r="227">
      <c r="A227" s="27"/>
      <c r="B227" s="10"/>
      <c r="C227" s="28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>
      <c r="A228" s="27"/>
      <c r="B228" s="10"/>
      <c r="C228" s="28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</row>
    <row r="229">
      <c r="A229" s="27"/>
      <c r="B229" s="10"/>
      <c r="C229" s="28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</row>
    <row r="230">
      <c r="A230" s="27"/>
      <c r="B230" s="10"/>
      <c r="C230" s="28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</row>
    <row r="231">
      <c r="A231" s="27"/>
      <c r="B231" s="10"/>
      <c r="C231" s="28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</row>
    <row r="232">
      <c r="A232" s="27"/>
      <c r="B232" s="10"/>
      <c r="C232" s="28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</row>
    <row r="233">
      <c r="A233" s="27"/>
      <c r="B233" s="10"/>
      <c r="C233" s="28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</row>
    <row r="234">
      <c r="A234" s="27"/>
      <c r="B234" s="10"/>
      <c r="C234" s="28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</row>
    <row r="235">
      <c r="A235" s="27"/>
      <c r="B235" s="10"/>
      <c r="C235" s="28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>
      <c r="A236" s="27"/>
      <c r="B236" s="10"/>
      <c r="C236" s="28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</row>
    <row r="237">
      <c r="A237" s="27"/>
      <c r="B237" s="10"/>
      <c r="C237" s="2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</row>
    <row r="238">
      <c r="A238" s="27"/>
      <c r="B238" s="10"/>
      <c r="C238" s="28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</row>
    <row r="239">
      <c r="A239" s="27"/>
      <c r="B239" s="10"/>
      <c r="C239" s="28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</row>
    <row r="240">
      <c r="A240" s="27"/>
      <c r="B240" s="10"/>
      <c r="C240" s="28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</row>
    <row r="241">
      <c r="A241" s="27"/>
      <c r="B241" s="10"/>
      <c r="C241" s="28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</row>
    <row r="242">
      <c r="A242" s="27"/>
      <c r="B242" s="10"/>
      <c r="C242" s="28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>
      <c r="A243" s="27"/>
      <c r="B243" s="10"/>
      <c r="C243" s="28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>
      <c r="A244" s="27"/>
      <c r="B244" s="10"/>
      <c r="C244" s="28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</row>
    <row r="245">
      <c r="A245" s="27"/>
      <c r="B245" s="10"/>
      <c r="C245" s="28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</row>
    <row r="246">
      <c r="A246" s="27"/>
      <c r="B246" s="10"/>
      <c r="C246" s="28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</row>
    <row r="247">
      <c r="A247" s="27"/>
      <c r="B247" s="10"/>
      <c r="C247" s="28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>
      <c r="A248" s="27"/>
      <c r="B248" s="10"/>
      <c r="C248" s="28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>
      <c r="A249" s="27"/>
      <c r="B249" s="10"/>
      <c r="C249" s="28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</row>
    <row r="250">
      <c r="A250" s="27"/>
      <c r="B250" s="10"/>
      <c r="C250" s="28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</row>
    <row r="251">
      <c r="A251" s="27"/>
      <c r="B251" s="10"/>
      <c r="C251" s="28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  <row r="252">
      <c r="A252" s="27"/>
      <c r="B252" s="10"/>
      <c r="C252" s="28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</row>
    <row r="253">
      <c r="A253" s="27"/>
      <c r="B253" s="10"/>
      <c r="C253" s="28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>
      <c r="A254" s="27"/>
      <c r="B254" s="10"/>
      <c r="C254" s="28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>
      <c r="A255" s="27"/>
      <c r="B255" s="10"/>
      <c r="C255" s="28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>
      <c r="A256" s="27"/>
      <c r="B256" s="10"/>
      <c r="C256" s="28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</row>
    <row r="257">
      <c r="A257" s="27"/>
      <c r="B257" s="10"/>
      <c r="C257" s="28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</row>
    <row r="258">
      <c r="A258" s="27"/>
      <c r="B258" s="10"/>
      <c r="C258" s="28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</row>
    <row r="259">
      <c r="A259" s="27"/>
      <c r="B259" s="10"/>
      <c r="C259" s="28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</row>
    <row r="260">
      <c r="A260" s="27"/>
      <c r="B260" s="10"/>
      <c r="C260" s="28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</row>
    <row r="261">
      <c r="A261" s="27"/>
      <c r="B261" s="10"/>
      <c r="C261" s="28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</row>
    <row r="262">
      <c r="A262" s="27"/>
      <c r="B262" s="10"/>
      <c r="C262" s="28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</row>
    <row r="263">
      <c r="A263" s="27"/>
      <c r="B263" s="10"/>
      <c r="C263" s="28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</row>
    <row r="264">
      <c r="A264" s="27"/>
      <c r="B264" s="10"/>
      <c r="C264" s="28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</row>
    <row r="265">
      <c r="A265" s="27"/>
      <c r="B265" s="10"/>
      <c r="C265" s="28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</row>
    <row r="266">
      <c r="A266" s="27"/>
      <c r="B266" s="10"/>
      <c r="C266" s="28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</row>
    <row r="267">
      <c r="A267" s="27"/>
      <c r="B267" s="10"/>
      <c r="C267" s="28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</row>
    <row r="268">
      <c r="A268" s="27"/>
      <c r="B268" s="10"/>
      <c r="C268" s="28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</row>
    <row r="269">
      <c r="A269" s="27"/>
      <c r="B269" s="10"/>
      <c r="C269" s="28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>
      <c r="A270" s="27"/>
      <c r="B270" s="10"/>
      <c r="C270" s="28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</row>
    <row r="271">
      <c r="A271" s="27"/>
      <c r="B271" s="10"/>
      <c r="C271" s="28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</row>
    <row r="272">
      <c r="A272" s="27"/>
      <c r="B272" s="10"/>
      <c r="C272" s="28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</row>
    <row r="273">
      <c r="A273" s="27"/>
      <c r="B273" s="10"/>
      <c r="C273" s="28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</row>
    <row r="274">
      <c r="A274" s="27"/>
      <c r="B274" s="10"/>
      <c r="C274" s="28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</row>
    <row r="275">
      <c r="A275" s="27"/>
      <c r="B275" s="10"/>
      <c r="C275" s="28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</row>
    <row r="276">
      <c r="A276" s="27"/>
      <c r="B276" s="10"/>
      <c r="C276" s="28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</row>
    <row r="277">
      <c r="A277" s="27"/>
      <c r="B277" s="10"/>
      <c r="C277" s="28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</row>
    <row r="278">
      <c r="A278" s="27"/>
      <c r="B278" s="10"/>
      <c r="C278" s="28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</row>
    <row r="279">
      <c r="A279" s="27"/>
      <c r="B279" s="10"/>
      <c r="C279" s="28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</row>
    <row r="280">
      <c r="A280" s="27"/>
      <c r="B280" s="10"/>
      <c r="C280" s="28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</row>
    <row r="281">
      <c r="A281" s="27"/>
      <c r="B281" s="10"/>
      <c r="C281" s="28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</row>
    <row r="282">
      <c r="A282" s="27"/>
      <c r="B282" s="10"/>
      <c r="C282" s="28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>
      <c r="A283" s="27"/>
      <c r="B283" s="10"/>
      <c r="C283" s="28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  <row r="284">
      <c r="A284" s="27"/>
      <c r="B284" s="10"/>
      <c r="C284" s="28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</row>
    <row r="285">
      <c r="A285" s="27"/>
      <c r="B285" s="10"/>
      <c r="C285" s="28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</row>
    <row r="286">
      <c r="A286" s="27"/>
      <c r="B286" s="10"/>
      <c r="C286" s="28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</row>
    <row r="287">
      <c r="A287" s="27"/>
      <c r="B287" s="10"/>
      <c r="C287" s="28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>
      <c r="A288" s="27"/>
      <c r="B288" s="10"/>
      <c r="C288" s="28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89">
      <c r="A289" s="27"/>
      <c r="B289" s="10"/>
      <c r="C289" s="28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>
      <c r="A290" s="27"/>
      <c r="B290" s="10"/>
      <c r="C290" s="28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</row>
    <row r="291">
      <c r="A291" s="27"/>
      <c r="B291" s="10"/>
      <c r="C291" s="28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</row>
    <row r="292">
      <c r="A292" s="27"/>
      <c r="B292" s="10"/>
      <c r="C292" s="2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</row>
    <row r="293">
      <c r="A293" s="27"/>
      <c r="B293" s="10"/>
      <c r="C293" s="28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</row>
    <row r="294">
      <c r="A294" s="27"/>
      <c r="B294" s="10"/>
      <c r="C294" s="28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</row>
    <row r="295">
      <c r="A295" s="27"/>
      <c r="B295" s="10"/>
      <c r="C295" s="28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</row>
    <row r="296">
      <c r="A296" s="27"/>
      <c r="B296" s="10"/>
      <c r="C296" s="28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</row>
    <row r="297">
      <c r="A297" s="27"/>
      <c r="B297" s="10"/>
      <c r="C297" s="28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</row>
    <row r="298">
      <c r="A298" s="27"/>
      <c r="B298" s="10"/>
      <c r="C298" s="28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</row>
    <row r="299">
      <c r="A299" s="27"/>
      <c r="B299" s="10"/>
      <c r="C299" s="28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</row>
    <row r="300">
      <c r="A300" s="27"/>
      <c r="B300" s="10"/>
      <c r="C300" s="28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</row>
    <row r="301">
      <c r="A301" s="27"/>
      <c r="B301" s="10"/>
      <c r="C301" s="28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>
      <c r="A302" s="27"/>
      <c r="B302" s="10"/>
      <c r="C302" s="28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</row>
    <row r="303">
      <c r="A303" s="27"/>
      <c r="B303" s="10"/>
      <c r="C303" s="28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</row>
    <row r="304">
      <c r="A304" s="27"/>
      <c r="B304" s="10"/>
      <c r="C304" s="28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</row>
    <row r="305">
      <c r="A305" s="27"/>
      <c r="B305" s="10"/>
      <c r="C305" s="28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</row>
    <row r="306">
      <c r="A306" s="27"/>
      <c r="B306" s="10"/>
      <c r="C306" s="28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</row>
    <row r="307">
      <c r="A307" s="27"/>
      <c r="B307" s="10"/>
      <c r="C307" s="28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</row>
    <row r="308">
      <c r="A308" s="27"/>
      <c r="B308" s="10"/>
      <c r="C308" s="28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</row>
    <row r="309">
      <c r="A309" s="27"/>
      <c r="B309" s="10"/>
      <c r="C309" s="28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</row>
    <row r="310">
      <c r="A310" s="27"/>
      <c r="B310" s="10"/>
      <c r="C310" s="28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</row>
    <row r="311">
      <c r="A311" s="27"/>
      <c r="B311" s="10"/>
      <c r="C311" s="28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</row>
    <row r="312">
      <c r="A312" s="27"/>
      <c r="B312" s="10"/>
      <c r="C312" s="28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</row>
    <row r="313">
      <c r="A313" s="27"/>
      <c r="B313" s="10"/>
      <c r="C313" s="28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</row>
    <row r="314">
      <c r="A314" s="27"/>
      <c r="B314" s="10"/>
      <c r="C314" s="28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</row>
    <row r="315">
      <c r="A315" s="27"/>
      <c r="B315" s="10"/>
      <c r="C315" s="28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</row>
    <row r="316">
      <c r="A316" s="27"/>
      <c r="B316" s="10"/>
      <c r="C316" s="28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</row>
    <row r="317">
      <c r="A317" s="27"/>
      <c r="B317" s="10"/>
      <c r="C317" s="28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</row>
    <row r="318">
      <c r="A318" s="27"/>
      <c r="B318" s="10"/>
      <c r="C318" s="28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</row>
    <row r="319">
      <c r="A319" s="27"/>
      <c r="B319" s="10"/>
      <c r="C319" s="28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</row>
    <row r="320">
      <c r="A320" s="27"/>
      <c r="B320" s="10"/>
      <c r="C320" s="28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</row>
    <row r="321">
      <c r="A321" s="27"/>
      <c r="B321" s="10"/>
      <c r="C321" s="28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</row>
    <row r="322">
      <c r="A322" s="27"/>
      <c r="B322" s="10"/>
      <c r="C322" s="28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</row>
    <row r="323">
      <c r="A323" s="27"/>
      <c r="B323" s="10"/>
      <c r="C323" s="28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</row>
    <row r="324">
      <c r="A324" s="27"/>
      <c r="B324" s="10"/>
      <c r="C324" s="28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</row>
    <row r="325">
      <c r="A325" s="27"/>
      <c r="B325" s="10"/>
      <c r="C325" s="28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</row>
    <row r="326">
      <c r="A326" s="27"/>
      <c r="B326" s="10"/>
      <c r="C326" s="28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</row>
    <row r="327">
      <c r="A327" s="27"/>
      <c r="B327" s="10"/>
      <c r="C327" s="28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</row>
    <row r="328">
      <c r="A328" s="27"/>
      <c r="B328" s="10"/>
      <c r="C328" s="28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</row>
    <row r="329">
      <c r="A329" s="27"/>
      <c r="B329" s="10"/>
      <c r="C329" s="28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</row>
    <row r="330">
      <c r="A330" s="27"/>
      <c r="B330" s="10"/>
      <c r="C330" s="28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</row>
    <row r="331">
      <c r="A331" s="27"/>
      <c r="B331" s="10"/>
      <c r="C331" s="28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</row>
    <row r="332">
      <c r="A332" s="27"/>
      <c r="B332" s="10"/>
      <c r="C332" s="28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</row>
    <row r="333">
      <c r="A333" s="27"/>
      <c r="B333" s="10"/>
      <c r="C333" s="28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</row>
    <row r="334">
      <c r="A334" s="27"/>
      <c r="B334" s="10"/>
      <c r="C334" s="28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</row>
    <row r="335">
      <c r="A335" s="27"/>
      <c r="B335" s="10"/>
      <c r="C335" s="28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</row>
    <row r="336">
      <c r="A336" s="27"/>
      <c r="B336" s="10"/>
      <c r="C336" s="28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</row>
    <row r="337">
      <c r="A337" s="27"/>
      <c r="B337" s="10"/>
      <c r="C337" s="28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</row>
    <row r="338">
      <c r="A338" s="27"/>
      <c r="B338" s="10"/>
      <c r="C338" s="28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</row>
    <row r="339">
      <c r="A339" s="27"/>
      <c r="B339" s="10"/>
      <c r="C339" s="28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</row>
    <row r="340">
      <c r="A340" s="27"/>
      <c r="B340" s="10"/>
      <c r="C340" s="28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</row>
    <row r="341">
      <c r="A341" s="27"/>
      <c r="B341" s="10"/>
      <c r="C341" s="28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</row>
    <row r="342">
      <c r="A342" s="27"/>
      <c r="B342" s="10"/>
      <c r="C342" s="28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</row>
    <row r="343">
      <c r="A343" s="27"/>
      <c r="B343" s="10"/>
      <c r="C343" s="28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</row>
    <row r="344">
      <c r="A344" s="27"/>
      <c r="B344" s="10"/>
      <c r="C344" s="28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</row>
    <row r="345">
      <c r="A345" s="27"/>
      <c r="B345" s="10"/>
      <c r="C345" s="28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</row>
    <row r="346">
      <c r="A346" s="27"/>
      <c r="B346" s="10"/>
      <c r="C346" s="28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</row>
    <row r="347">
      <c r="A347" s="27"/>
      <c r="B347" s="10"/>
      <c r="C347" s="28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</row>
    <row r="348">
      <c r="A348" s="27"/>
      <c r="B348" s="10"/>
      <c r="C348" s="28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</row>
    <row r="349">
      <c r="A349" s="27"/>
      <c r="B349" s="10"/>
      <c r="C349" s="28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</row>
    <row r="350">
      <c r="A350" s="27"/>
      <c r="B350" s="10"/>
      <c r="C350" s="28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</row>
    <row r="351">
      <c r="A351" s="27"/>
      <c r="B351" s="10"/>
      <c r="C351" s="28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</row>
    <row r="352">
      <c r="A352" s="27"/>
      <c r="B352" s="10"/>
      <c r="C352" s="28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</row>
    <row r="353">
      <c r="A353" s="27"/>
      <c r="B353" s="10"/>
      <c r="C353" s="28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</row>
    <row r="354">
      <c r="A354" s="27"/>
      <c r="B354" s="10"/>
      <c r="C354" s="28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</row>
    <row r="355">
      <c r="A355" s="27"/>
      <c r="B355" s="10"/>
      <c r="C355" s="28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</row>
    <row r="356">
      <c r="A356" s="27"/>
      <c r="B356" s="10"/>
      <c r="C356" s="28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</row>
    <row r="357">
      <c r="A357" s="27"/>
      <c r="B357" s="10"/>
      <c r="C357" s="2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</row>
    <row r="358">
      <c r="A358" s="27"/>
      <c r="B358" s="10"/>
      <c r="C358" s="28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</row>
    <row r="359">
      <c r="A359" s="27"/>
      <c r="B359" s="10"/>
      <c r="C359" s="28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</row>
    <row r="360">
      <c r="A360" s="27"/>
      <c r="B360" s="10"/>
      <c r="C360" s="28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</row>
    <row r="361">
      <c r="A361" s="27"/>
      <c r="B361" s="10"/>
      <c r="C361" s="28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</row>
    <row r="362">
      <c r="A362" s="27"/>
      <c r="B362" s="10"/>
      <c r="C362" s="28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</row>
    <row r="363">
      <c r="A363" s="27"/>
      <c r="B363" s="10"/>
      <c r="C363" s="28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</row>
    <row r="364">
      <c r="A364" s="27"/>
      <c r="B364" s="10"/>
      <c r="C364" s="28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</row>
    <row r="365">
      <c r="A365" s="27"/>
      <c r="B365" s="10"/>
      <c r="C365" s="28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</row>
    <row r="366">
      <c r="A366" s="27"/>
      <c r="B366" s="10"/>
      <c r="C366" s="28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</row>
    <row r="367">
      <c r="A367" s="27"/>
      <c r="B367" s="10"/>
      <c r="C367" s="28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</row>
    <row r="368">
      <c r="A368" s="27"/>
      <c r="B368" s="10"/>
      <c r="C368" s="28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</row>
    <row r="369">
      <c r="A369" s="27"/>
      <c r="B369" s="10"/>
      <c r="C369" s="28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</row>
    <row r="370">
      <c r="A370" s="27"/>
      <c r="B370" s="10"/>
      <c r="C370" s="28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</row>
    <row r="371">
      <c r="A371" s="27"/>
      <c r="B371" s="10"/>
      <c r="C371" s="28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</row>
    <row r="372">
      <c r="A372" s="27"/>
      <c r="B372" s="10"/>
      <c r="C372" s="28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</row>
    <row r="373">
      <c r="A373" s="27"/>
      <c r="B373" s="10"/>
      <c r="C373" s="28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</row>
    <row r="374">
      <c r="A374" s="27"/>
      <c r="B374" s="10"/>
      <c r="C374" s="28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</row>
    <row r="375">
      <c r="A375" s="27"/>
      <c r="B375" s="10"/>
      <c r="C375" s="28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</row>
    <row r="376">
      <c r="A376" s="27"/>
      <c r="B376" s="10"/>
      <c r="C376" s="28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</row>
    <row r="377">
      <c r="A377" s="27"/>
      <c r="B377" s="10"/>
      <c r="C377" s="28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</row>
    <row r="378">
      <c r="A378" s="27"/>
      <c r="B378" s="10"/>
      <c r="C378" s="28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</row>
    <row r="379">
      <c r="A379" s="27"/>
      <c r="B379" s="10"/>
      <c r="C379" s="28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</row>
    <row r="380">
      <c r="A380" s="27"/>
      <c r="B380" s="10"/>
      <c r="C380" s="28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</row>
    <row r="381">
      <c r="A381" s="27"/>
      <c r="B381" s="10"/>
      <c r="C381" s="28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</row>
    <row r="382">
      <c r="A382" s="27"/>
      <c r="B382" s="10"/>
      <c r="C382" s="28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</row>
    <row r="383">
      <c r="A383" s="27"/>
      <c r="B383" s="10"/>
      <c r="C383" s="28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</row>
    <row r="384">
      <c r="A384" s="27"/>
      <c r="B384" s="10"/>
      <c r="C384" s="28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</row>
    <row r="385">
      <c r="A385" s="27"/>
      <c r="B385" s="10"/>
      <c r="C385" s="28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</row>
    <row r="386">
      <c r="A386" s="27"/>
      <c r="B386" s="10"/>
      <c r="C386" s="28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</row>
    <row r="387">
      <c r="A387" s="27"/>
      <c r="B387" s="10"/>
      <c r="C387" s="28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</row>
    <row r="388">
      <c r="A388" s="27"/>
      <c r="B388" s="10"/>
      <c r="C388" s="28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</row>
    <row r="389">
      <c r="A389" s="27"/>
      <c r="B389" s="10"/>
      <c r="C389" s="28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</row>
    <row r="390">
      <c r="A390" s="27"/>
      <c r="B390" s="10"/>
      <c r="C390" s="28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</row>
    <row r="391">
      <c r="A391" s="27"/>
      <c r="B391" s="10"/>
      <c r="C391" s="28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</row>
    <row r="392">
      <c r="A392" s="27"/>
      <c r="B392" s="10"/>
      <c r="C392" s="28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</row>
    <row r="393">
      <c r="A393" s="27"/>
      <c r="B393" s="10"/>
      <c r="C393" s="28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</row>
    <row r="394">
      <c r="A394" s="27"/>
      <c r="B394" s="10"/>
      <c r="C394" s="28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</row>
    <row r="395">
      <c r="A395" s="27"/>
      <c r="B395" s="10"/>
      <c r="C395" s="28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</row>
    <row r="396">
      <c r="A396" s="27"/>
      <c r="B396" s="10"/>
      <c r="C396" s="28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</row>
    <row r="397">
      <c r="A397" s="27"/>
      <c r="B397" s="10"/>
      <c r="C397" s="28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</row>
    <row r="398">
      <c r="A398" s="27"/>
      <c r="B398" s="10"/>
      <c r="C398" s="28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</row>
    <row r="399">
      <c r="A399" s="27"/>
      <c r="B399" s="10"/>
      <c r="C399" s="28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</row>
    <row r="400">
      <c r="A400" s="27"/>
      <c r="B400" s="10"/>
      <c r="C400" s="28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</row>
    <row r="401">
      <c r="A401" s="27"/>
      <c r="B401" s="10"/>
      <c r="C401" s="28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>
      <c r="A402" s="27"/>
      <c r="B402" s="10"/>
      <c r="C402" s="28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</row>
    <row r="403">
      <c r="A403" s="27"/>
      <c r="B403" s="10"/>
      <c r="C403" s="28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</row>
    <row r="404">
      <c r="A404" s="27"/>
      <c r="B404" s="10"/>
      <c r="C404" s="28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</row>
    <row r="405">
      <c r="A405" s="27"/>
      <c r="B405" s="10"/>
      <c r="C405" s="28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</row>
    <row r="406">
      <c r="A406" s="27"/>
      <c r="B406" s="10"/>
      <c r="C406" s="28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</row>
    <row r="407">
      <c r="A407" s="27"/>
      <c r="B407" s="10"/>
      <c r="C407" s="28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</row>
    <row r="408">
      <c r="A408" s="27"/>
      <c r="B408" s="10"/>
      <c r="C408" s="28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</row>
    <row r="409">
      <c r="A409" s="27"/>
      <c r="B409" s="10"/>
      <c r="C409" s="28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</row>
    <row r="410">
      <c r="A410" s="27"/>
      <c r="B410" s="10"/>
      <c r="C410" s="28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</row>
    <row r="411">
      <c r="A411" s="27"/>
      <c r="B411" s="10"/>
      <c r="C411" s="28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</row>
    <row r="412">
      <c r="A412" s="27"/>
      <c r="B412" s="10"/>
      <c r="C412" s="28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</row>
    <row r="413">
      <c r="A413" s="27"/>
      <c r="B413" s="10"/>
      <c r="C413" s="28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</row>
    <row r="414">
      <c r="A414" s="27"/>
      <c r="B414" s="10"/>
      <c r="C414" s="28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</row>
    <row r="415">
      <c r="A415" s="27"/>
      <c r="B415" s="10"/>
      <c r="C415" s="28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</row>
    <row r="416">
      <c r="A416" s="27"/>
      <c r="B416" s="10"/>
      <c r="C416" s="28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</row>
    <row r="417">
      <c r="A417" s="27"/>
      <c r="B417" s="10"/>
      <c r="C417" s="28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</row>
    <row r="418">
      <c r="A418" s="27"/>
      <c r="B418" s="10"/>
      <c r="C418" s="28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</row>
    <row r="419">
      <c r="A419" s="27"/>
      <c r="B419" s="10"/>
      <c r="C419" s="28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</row>
    <row r="420">
      <c r="A420" s="27"/>
      <c r="B420" s="10"/>
      <c r="C420" s="28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</row>
    <row r="421">
      <c r="A421" s="27"/>
      <c r="B421" s="10"/>
      <c r="C421" s="28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</row>
    <row r="422">
      <c r="A422" s="27"/>
      <c r="B422" s="10"/>
      <c r="C422" s="28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</row>
    <row r="423">
      <c r="A423" s="27"/>
      <c r="B423" s="10"/>
      <c r="C423" s="28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</row>
    <row r="424">
      <c r="A424" s="27"/>
      <c r="B424" s="10"/>
      <c r="C424" s="28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</row>
    <row r="425">
      <c r="A425" s="27"/>
      <c r="B425" s="10"/>
      <c r="C425" s="28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</row>
    <row r="426">
      <c r="A426" s="27"/>
      <c r="B426" s="10"/>
      <c r="C426" s="28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</row>
    <row r="427">
      <c r="A427" s="27"/>
      <c r="B427" s="10"/>
      <c r="C427" s="28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</row>
    <row r="428">
      <c r="A428" s="27"/>
      <c r="B428" s="10"/>
      <c r="C428" s="28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</row>
    <row r="429">
      <c r="A429" s="27"/>
      <c r="B429" s="10"/>
      <c r="C429" s="28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</row>
    <row r="430">
      <c r="A430" s="27"/>
      <c r="B430" s="10"/>
      <c r="C430" s="28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</row>
    <row r="431">
      <c r="A431" s="27"/>
      <c r="B431" s="10"/>
      <c r="C431" s="28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</row>
    <row r="432">
      <c r="A432" s="27"/>
      <c r="B432" s="10"/>
      <c r="C432" s="28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</row>
    <row r="433">
      <c r="A433" s="27"/>
      <c r="B433" s="10"/>
      <c r="C433" s="28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</row>
    <row r="434">
      <c r="A434" s="27"/>
      <c r="B434" s="10"/>
      <c r="C434" s="28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</row>
    <row r="435">
      <c r="A435" s="27"/>
      <c r="B435" s="10"/>
      <c r="C435" s="28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</row>
    <row r="436">
      <c r="A436" s="27"/>
      <c r="B436" s="10"/>
      <c r="C436" s="28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</row>
    <row r="437">
      <c r="A437" s="27"/>
      <c r="B437" s="10"/>
      <c r="C437" s="28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</row>
    <row r="438">
      <c r="A438" s="27"/>
      <c r="B438" s="10"/>
      <c r="C438" s="28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</row>
    <row r="439">
      <c r="A439" s="27"/>
      <c r="B439" s="10"/>
      <c r="C439" s="28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</row>
    <row r="440">
      <c r="A440" s="27"/>
      <c r="B440" s="10"/>
      <c r="C440" s="28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</row>
    <row r="441">
      <c r="A441" s="27"/>
      <c r="B441" s="10"/>
      <c r="C441" s="28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</row>
    <row r="442">
      <c r="A442" s="27"/>
      <c r="B442" s="10"/>
      <c r="C442" s="28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</row>
    <row r="443">
      <c r="A443" s="27"/>
      <c r="B443" s="10"/>
      <c r="C443" s="28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</row>
    <row r="444">
      <c r="A444" s="27"/>
      <c r="B444" s="10"/>
      <c r="C444" s="28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</row>
    <row r="445">
      <c r="A445" s="27"/>
      <c r="B445" s="10"/>
      <c r="C445" s="28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</row>
    <row r="446">
      <c r="A446" s="27"/>
      <c r="B446" s="10"/>
      <c r="C446" s="28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</row>
    <row r="447">
      <c r="A447" s="27"/>
      <c r="B447" s="10"/>
      <c r="C447" s="28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</row>
    <row r="448">
      <c r="A448" s="27"/>
      <c r="B448" s="10"/>
      <c r="C448" s="28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</row>
    <row r="449">
      <c r="A449" s="27"/>
      <c r="B449" s="10"/>
      <c r="C449" s="28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</row>
    <row r="450">
      <c r="A450" s="27"/>
      <c r="B450" s="10"/>
      <c r="C450" s="28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</row>
    <row r="451">
      <c r="A451" s="27"/>
      <c r="B451" s="10"/>
      <c r="C451" s="28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</row>
    <row r="452">
      <c r="A452" s="27"/>
      <c r="B452" s="10"/>
      <c r="C452" s="28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</row>
    <row r="453">
      <c r="A453" s="27"/>
      <c r="B453" s="10"/>
      <c r="C453" s="28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</row>
    <row r="454">
      <c r="A454" s="27"/>
      <c r="B454" s="10"/>
      <c r="C454" s="28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</row>
    <row r="455">
      <c r="A455" s="27"/>
      <c r="B455" s="10"/>
      <c r="C455" s="28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</row>
    <row r="456">
      <c r="A456" s="27"/>
      <c r="B456" s="10"/>
      <c r="C456" s="28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</row>
    <row r="457">
      <c r="A457" s="27"/>
      <c r="B457" s="10"/>
      <c r="C457" s="28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</row>
    <row r="458">
      <c r="A458" s="27"/>
      <c r="B458" s="10"/>
      <c r="C458" s="28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</row>
    <row r="459">
      <c r="A459" s="27"/>
      <c r="B459" s="10"/>
      <c r="C459" s="28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</row>
    <row r="460">
      <c r="A460" s="27"/>
      <c r="B460" s="10"/>
      <c r="C460" s="28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</row>
    <row r="461">
      <c r="A461" s="27"/>
      <c r="B461" s="10"/>
      <c r="C461" s="28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</row>
    <row r="462">
      <c r="A462" s="27"/>
      <c r="B462" s="10"/>
      <c r="C462" s="28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</row>
    <row r="463">
      <c r="A463" s="27"/>
      <c r="B463" s="10"/>
      <c r="C463" s="28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</row>
    <row r="464">
      <c r="A464" s="27"/>
      <c r="B464" s="10"/>
      <c r="C464" s="28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</row>
    <row r="465">
      <c r="A465" s="27"/>
      <c r="B465" s="10"/>
      <c r="C465" s="28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</row>
    <row r="466">
      <c r="A466" s="27"/>
      <c r="B466" s="10"/>
      <c r="C466" s="28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</row>
    <row r="467">
      <c r="A467" s="27"/>
      <c r="B467" s="10"/>
      <c r="C467" s="28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</row>
    <row r="468">
      <c r="A468" s="27"/>
      <c r="B468" s="10"/>
      <c r="C468" s="28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</row>
    <row r="469">
      <c r="A469" s="27"/>
      <c r="B469" s="10"/>
      <c r="C469" s="28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</row>
    <row r="470">
      <c r="A470" s="27"/>
      <c r="B470" s="10"/>
      <c r="C470" s="28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</row>
    <row r="471">
      <c r="A471" s="27"/>
      <c r="B471" s="10"/>
      <c r="C471" s="28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</row>
    <row r="472">
      <c r="A472" s="27"/>
      <c r="B472" s="10"/>
      <c r="C472" s="28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</row>
    <row r="473">
      <c r="A473" s="27"/>
      <c r="B473" s="10"/>
      <c r="C473" s="28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</row>
    <row r="474">
      <c r="A474" s="27"/>
      <c r="B474" s="10"/>
      <c r="C474" s="28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</row>
    <row r="475">
      <c r="A475" s="27"/>
      <c r="B475" s="10"/>
      <c r="C475" s="28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</row>
    <row r="476">
      <c r="A476" s="27"/>
      <c r="B476" s="10"/>
      <c r="C476" s="28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</row>
    <row r="477">
      <c r="A477" s="27"/>
      <c r="B477" s="10"/>
      <c r="C477" s="28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</row>
    <row r="478">
      <c r="A478" s="27"/>
      <c r="B478" s="10"/>
      <c r="C478" s="28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</row>
    <row r="479">
      <c r="A479" s="27"/>
      <c r="B479" s="10"/>
      <c r="C479" s="28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</row>
    <row r="480">
      <c r="A480" s="27"/>
      <c r="B480" s="10"/>
      <c r="C480" s="28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</row>
    <row r="481">
      <c r="A481" s="27"/>
      <c r="B481" s="10"/>
      <c r="C481" s="28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</row>
    <row r="482">
      <c r="A482" s="27"/>
      <c r="B482" s="10"/>
      <c r="C482" s="28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</row>
    <row r="483">
      <c r="A483" s="27"/>
      <c r="B483" s="10"/>
      <c r="C483" s="28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</row>
    <row r="484">
      <c r="A484" s="27"/>
      <c r="B484" s="10"/>
      <c r="C484" s="28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</row>
    <row r="485">
      <c r="A485" s="27"/>
      <c r="B485" s="10"/>
      <c r="C485" s="28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</row>
    <row r="486">
      <c r="A486" s="27"/>
      <c r="B486" s="10"/>
      <c r="C486" s="28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</row>
    <row r="487">
      <c r="A487" s="27"/>
      <c r="B487" s="10"/>
      <c r="C487" s="28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</row>
    <row r="488">
      <c r="A488" s="27"/>
      <c r="B488" s="10"/>
      <c r="C488" s="28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</row>
    <row r="489">
      <c r="A489" s="27"/>
      <c r="B489" s="10"/>
      <c r="C489" s="28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</row>
    <row r="490">
      <c r="A490" s="27"/>
      <c r="B490" s="10"/>
      <c r="C490" s="28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</row>
    <row r="491">
      <c r="A491" s="27"/>
      <c r="B491" s="10"/>
      <c r="C491" s="28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</row>
    <row r="492">
      <c r="A492" s="27"/>
      <c r="B492" s="10"/>
      <c r="C492" s="28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</row>
    <row r="493">
      <c r="A493" s="27"/>
      <c r="B493" s="10"/>
      <c r="C493" s="28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</row>
    <row r="494">
      <c r="A494" s="27"/>
      <c r="B494" s="10"/>
      <c r="C494" s="28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</row>
    <row r="495">
      <c r="A495" s="27"/>
      <c r="B495" s="10"/>
      <c r="C495" s="28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</row>
    <row r="496">
      <c r="A496" s="27"/>
      <c r="B496" s="10"/>
      <c r="C496" s="28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>
      <c r="A497" s="27"/>
      <c r="B497" s="10"/>
      <c r="C497" s="28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</row>
    <row r="498">
      <c r="A498" s="27"/>
      <c r="B498" s="10"/>
      <c r="C498" s="28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</row>
    <row r="499">
      <c r="A499" s="27"/>
      <c r="B499" s="10"/>
      <c r="C499" s="28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</row>
    <row r="500">
      <c r="A500" s="27"/>
      <c r="B500" s="10"/>
      <c r="C500" s="28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</row>
    <row r="501">
      <c r="A501" s="27"/>
      <c r="B501" s="10"/>
      <c r="C501" s="28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</row>
    <row r="502">
      <c r="A502" s="27"/>
      <c r="B502" s="10"/>
      <c r="C502" s="28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</row>
    <row r="503">
      <c r="A503" s="27"/>
      <c r="B503" s="10"/>
      <c r="C503" s="28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</row>
    <row r="504">
      <c r="A504" s="27"/>
      <c r="B504" s="10"/>
      <c r="C504" s="28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</row>
    <row r="505">
      <c r="A505" s="27"/>
      <c r="B505" s="10"/>
      <c r="C505" s="28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</row>
    <row r="506">
      <c r="A506" s="27"/>
      <c r="B506" s="10"/>
      <c r="C506" s="28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</row>
    <row r="507">
      <c r="A507" s="27"/>
      <c r="B507" s="10"/>
      <c r="C507" s="28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</row>
    <row r="508">
      <c r="A508" s="27"/>
      <c r="B508" s="10"/>
      <c r="C508" s="28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</row>
    <row r="509">
      <c r="A509" s="27"/>
      <c r="B509" s="10"/>
      <c r="C509" s="28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</row>
    <row r="510">
      <c r="A510" s="27"/>
      <c r="B510" s="10"/>
      <c r="C510" s="28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</row>
    <row r="511">
      <c r="A511" s="27"/>
      <c r="B511" s="10"/>
      <c r="C511" s="28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</row>
    <row r="512">
      <c r="A512" s="27"/>
      <c r="B512" s="10"/>
      <c r="C512" s="28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</row>
    <row r="513">
      <c r="A513" s="27"/>
      <c r="B513" s="10"/>
      <c r="C513" s="28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</row>
    <row r="514">
      <c r="A514" s="27"/>
      <c r="B514" s="10"/>
      <c r="C514" s="28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</row>
    <row r="515">
      <c r="A515" s="27"/>
      <c r="B515" s="10"/>
      <c r="C515" s="28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</row>
    <row r="516">
      <c r="A516" s="27"/>
      <c r="B516" s="10"/>
      <c r="C516" s="28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</row>
    <row r="517">
      <c r="A517" s="27"/>
      <c r="B517" s="10"/>
      <c r="C517" s="28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</row>
    <row r="518">
      <c r="A518" s="27"/>
      <c r="B518" s="10"/>
      <c r="C518" s="28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</row>
    <row r="519">
      <c r="A519" s="27"/>
      <c r="B519" s="10"/>
      <c r="C519" s="28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</row>
    <row r="520">
      <c r="A520" s="27"/>
      <c r="B520" s="10"/>
      <c r="C520" s="28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</row>
    <row r="521">
      <c r="A521" s="27"/>
      <c r="B521" s="10"/>
      <c r="C521" s="28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</row>
    <row r="522">
      <c r="A522" s="27"/>
      <c r="B522" s="10"/>
      <c r="C522" s="28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</row>
    <row r="523">
      <c r="A523" s="27"/>
      <c r="B523" s="10"/>
      <c r="C523" s="28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</row>
    <row r="524">
      <c r="A524" s="27"/>
      <c r="B524" s="10"/>
      <c r="C524" s="28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</row>
  </sheetData>
  <conditionalFormatting sqref="I5:I10">
    <cfRule type="cellIs" dxfId="6" priority="1" operator="equal">
      <formula>1</formula>
    </cfRule>
  </conditionalFormatting>
  <dataValidations>
    <dataValidation type="list" allowBlank="1" showErrorMessage="1" sqref="A5:A19">
      <formula1>#REF!</formula1>
    </dataValidation>
    <dataValidation type="list" allowBlank="1" sqref="H5:H10">
      <formula1>#REF!</formula1>
    </dataValidation>
  </dataValidation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6.5"/>
    <col customWidth="1" min="3" max="3" width="6.25"/>
    <col customWidth="1" min="4" max="4" width="30.5"/>
    <col customWidth="1" min="5" max="23" width="9.63"/>
    <col customWidth="1" min="24" max="24" width="13.63"/>
  </cols>
  <sheetData>
    <row r="1" ht="22.5" customHeight="1">
      <c r="A1" s="29" t="s">
        <v>1083</v>
      </c>
      <c r="B1" s="29" t="s">
        <v>1079</v>
      </c>
      <c r="C1" s="30" t="s">
        <v>1084</v>
      </c>
      <c r="D1" s="29" t="s">
        <v>1085</v>
      </c>
      <c r="E1" s="30" t="s">
        <v>1086</v>
      </c>
      <c r="F1" s="30" t="s">
        <v>1087</v>
      </c>
      <c r="G1" s="29" t="s">
        <v>1088</v>
      </c>
      <c r="H1" s="29" t="s">
        <v>1089</v>
      </c>
      <c r="I1" s="30" t="s">
        <v>1090</v>
      </c>
      <c r="J1" s="29" t="s">
        <v>1091</v>
      </c>
      <c r="K1" s="29" t="s">
        <v>1092</v>
      </c>
      <c r="L1" s="29" t="s">
        <v>1093</v>
      </c>
      <c r="M1" s="29" t="s">
        <v>1094</v>
      </c>
      <c r="N1" s="30" t="s">
        <v>1095</v>
      </c>
      <c r="O1" s="30" t="s">
        <v>7</v>
      </c>
      <c r="P1" s="30" t="s">
        <v>1096</v>
      </c>
      <c r="Q1" s="30" t="s">
        <v>1097</v>
      </c>
      <c r="R1" s="30" t="s">
        <v>1098</v>
      </c>
      <c r="S1" s="30" t="s">
        <v>1099</v>
      </c>
      <c r="T1" s="30" t="s">
        <v>1100</v>
      </c>
      <c r="U1" s="30" t="s">
        <v>1101</v>
      </c>
      <c r="V1" s="30" t="s">
        <v>1102</v>
      </c>
      <c r="W1" s="30" t="s">
        <v>1103</v>
      </c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ht="22.5" customHeight="1">
      <c r="A2" s="31" t="s">
        <v>1104</v>
      </c>
      <c r="B2" s="32" t="str">
        <f>IMAGE("https://lds-img.finalfantasyxiv.com/d/495faab61344751872ca0867e2d5e59b04c6940c.png")</f>
        <v/>
      </c>
      <c r="C2" s="31">
        <v>88.0</v>
      </c>
      <c r="D2" s="31" t="s">
        <v>1105</v>
      </c>
      <c r="E2" s="31">
        <v>90.0</v>
      </c>
      <c r="F2" s="32"/>
      <c r="G2" s="32"/>
      <c r="H2" s="32"/>
      <c r="I2" s="31"/>
      <c r="J2" s="31">
        <v>400.0</v>
      </c>
      <c r="K2" s="32"/>
      <c r="L2" s="31"/>
      <c r="M2" s="31">
        <v>30.0</v>
      </c>
      <c r="N2" s="31" t="s">
        <v>1106</v>
      </c>
      <c r="O2" s="31">
        <f t="array" ref="O2">int(int(int($J2*XLOOKUP($N2,Settings[Role],Settings[f(HMP)])*XLOOKUP($N2,Settings[Role],Settings[f(DET)]))/100)/1000)</f>
        <v>9965</v>
      </c>
      <c r="P2" s="31">
        <f t="array" ref="P2">int(int(int(int(int(int($O2*XLOOKUP($N2,Settings[Role],Settings[f(TNC)]))/1000)*XLOOKUP($N2,Settings[Role],Settings[f(WD)]))/100)*XLOOKUP($N2,Settings[Role],Settings[Trait]))/100)</f>
        <v>20439</v>
      </c>
      <c r="Q2" s="31">
        <f t="array" ref="Q2">int(int(int($K2*XLOOKUP($N2,Settings[Role],Settings[f(HMP)])*XLOOKUP($N2,Settings[Role],Settings[f(DET)]))/100)/1000)</f>
        <v>0</v>
      </c>
      <c r="R2" s="31">
        <f t="array" ref="R2">int(int(int(int(int(int(int(int($Q2*XLOOKUP($N2,Settings[Role],Settings[f(TNC)]))/1000)
*XLOOKUP($N2,Settings[Role],Settings[f(SPD)]))/1000)
*XLOOKUP($N2,Settings[Role],Settings[f(WD)]))/100)
*XLOOKUP($N2,Settings[Role],Settings[Trait]))/100)</f>
        <v>0</v>
      </c>
      <c r="S2" s="31">
        <f t="shared" ref="S2:S92" si="1">int($R2*($H2/3))</f>
        <v>0</v>
      </c>
      <c r="T2" s="31">
        <f t="array" ref="T2">int(int(int($L2*XLOOKUP($N2,Settings[Role],Settings[f(HMP)])*XLOOKUP($N2,Settings[Role],Settings[f(DET)]))/100)/1000)</f>
        <v>0</v>
      </c>
      <c r="U2" s="31">
        <f t="array" ref="U2">int(int(int(int(int(int($T2*XLOOKUP($N2,Settings[Role],Settings[f(TNC)]))/1000)*XLOOKUP($N2,Settings[Role],Settings[f(WD)]))/100)*XLOOKUP($N2,Settings[Role],Settings[Trait]))/100)</f>
        <v>0</v>
      </c>
      <c r="V2" s="31">
        <v>0.1</v>
      </c>
      <c r="W2" s="31">
        <f t="array" ref="W2">int(if($V2&lt;&gt;"",XLOOKUP($N2,Settings[Role],Settings[HP])*$V2,""))</f>
        <v>29619</v>
      </c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</row>
    <row r="3" ht="22.5" customHeight="1">
      <c r="A3" s="31" t="s">
        <v>1104</v>
      </c>
      <c r="B3" s="32" t="str">
        <f>IMAGE("https://lds-img.finalfantasyxiv.com/d/b570dfda793945b3bb8fddef02b1a865b8a04b32.png")</f>
        <v/>
      </c>
      <c r="C3" s="31">
        <v>70.0</v>
      </c>
      <c r="D3" s="31" t="s">
        <v>1107</v>
      </c>
      <c r="E3" s="31">
        <v>120.0</v>
      </c>
      <c r="F3" s="31"/>
      <c r="G3" s="31">
        <v>0.85</v>
      </c>
      <c r="H3" s="31">
        <v>18.0</v>
      </c>
      <c r="I3" s="31"/>
      <c r="J3" s="31"/>
      <c r="K3" s="32"/>
      <c r="L3" s="32"/>
      <c r="M3" s="31"/>
      <c r="N3" s="31" t="s">
        <v>1106</v>
      </c>
      <c r="O3" s="31">
        <f t="array" ref="O3">int(int(int($J3*XLOOKUP($N3,Settings[Role],Settings[f(HMP)])*XLOOKUP($N3,Settings[Role],Settings[f(DET)]))/100)/1000)</f>
        <v>0</v>
      </c>
      <c r="P3" s="31">
        <f t="array" ref="P3">int(int(int(int(int(int($O3*XLOOKUP($N3,Settings[Role],Settings[f(TNC)]))/1000)*XLOOKUP($N3,Settings[Role],Settings[f(WD)]))/100)*XLOOKUP($N3,Settings[Role],Settings[Trait]))/100)</f>
        <v>0</v>
      </c>
      <c r="Q3" s="31">
        <f t="array" ref="Q3">int(int(int($K3*XLOOKUP($N3,Settings[Role],Settings[f(HMP)])*XLOOKUP($N3,Settings[Role],Settings[f(DET)]))/100)/1000)</f>
        <v>0</v>
      </c>
      <c r="R3" s="31">
        <f t="array" ref="R3">int(int(int(int(int(int(int(int($Q3*XLOOKUP($N3,Settings[Role],Settings[f(TNC)]))/1000)
*XLOOKUP($N3,Settings[Role],Settings[f(SPD)]))/1000)
*XLOOKUP($N3,Settings[Role],Settings[f(WD)]))/100)
*XLOOKUP($N3,Settings[Role],Settings[Trait]))/100)</f>
        <v>0</v>
      </c>
      <c r="S3" s="31">
        <f t="shared" si="1"/>
        <v>0</v>
      </c>
      <c r="T3" s="31">
        <f t="array" ref="T3">int(int(int($L3*XLOOKUP($N3,Settings[Role],Settings[f(HMP)])*XLOOKUP($N3,Settings[Role],Settings[f(DET)]))/100)/1000)</f>
        <v>0</v>
      </c>
      <c r="U3" s="31">
        <f t="array" ref="U3">int(int(int(int(int(int($T3*XLOOKUP($N3,Settings[Role],Settings[f(TNC)]))/1000)*XLOOKUP($N3,Settings[Role],Settings[f(WD)]))/100)*XLOOKUP($N3,Settings[Role],Settings[Trait]))/100)</f>
        <v>0</v>
      </c>
      <c r="V3" s="31"/>
      <c r="W3" s="31">
        <f t="array" ref="W3">int(if($V3&lt;&gt;"",XLOOKUP($N3,Settings[Role],Settings[HP])*$V3,""))</f>
        <v>0</v>
      </c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</row>
    <row r="4" ht="22.5" customHeight="1">
      <c r="A4" s="31" t="s">
        <v>1108</v>
      </c>
      <c r="B4" s="32" t="str">
        <f>IMAGE("https://lds-img.finalfantasyxiv.com/d/6b83d9368623d5cd20a426d26916021b59a14963.png")</f>
        <v/>
      </c>
      <c r="C4" s="31">
        <v>98.0</v>
      </c>
      <c r="D4" s="31" t="s">
        <v>1109</v>
      </c>
      <c r="E4" s="31">
        <v>60.0</v>
      </c>
      <c r="F4" s="31"/>
      <c r="G4" s="31">
        <v>0.9</v>
      </c>
      <c r="H4" s="31">
        <v>15.0</v>
      </c>
      <c r="I4" s="31"/>
      <c r="J4" s="31"/>
      <c r="K4" s="32"/>
      <c r="L4" s="32"/>
      <c r="M4" s="31"/>
      <c r="N4" s="31" t="s">
        <v>1106</v>
      </c>
      <c r="O4" s="31">
        <f t="array" ref="O4">int(int(int($J4*XLOOKUP($N4,Settings[Role],Settings[f(HMP)])*XLOOKUP($N4,Settings[Role],Settings[f(DET)]))/100)/1000)</f>
        <v>0</v>
      </c>
      <c r="P4" s="31">
        <f t="array" ref="P4">int(int(int(int(int(int($O4*XLOOKUP($N4,Settings[Role],Settings[f(TNC)]))/1000)*XLOOKUP($N4,Settings[Role],Settings[f(WD)]))/100)*XLOOKUP($N4,Settings[Role],Settings[Trait]))/100)</f>
        <v>0</v>
      </c>
      <c r="Q4" s="31">
        <f t="array" ref="Q4">int(int(int($K4*XLOOKUP($N4,Settings[Role],Settings[f(HMP)])*XLOOKUP($N4,Settings[Role],Settings[f(DET)]))/100)/1000)</f>
        <v>0</v>
      </c>
      <c r="R4" s="31">
        <f t="array" ref="R4">int(int(int(int(int(int(int(int($Q4*XLOOKUP($N4,Settings[Role],Settings[f(TNC)]))/1000)
*XLOOKUP($N4,Settings[Role],Settings[f(SPD)]))/1000)
*XLOOKUP($N4,Settings[Role],Settings[f(WD)]))/100)
*XLOOKUP($N4,Settings[Role],Settings[Trait]))/100)</f>
        <v>0</v>
      </c>
      <c r="S4" s="31">
        <f t="shared" si="1"/>
        <v>0</v>
      </c>
      <c r="T4" s="31">
        <f t="array" ref="T4">int(int(int($L4*XLOOKUP($N4,Settings[Role],Settings[f(HMP)])*XLOOKUP($N4,Settings[Role],Settings[f(DET)]))/100)/1000)</f>
        <v>0</v>
      </c>
      <c r="U4" s="31">
        <f t="array" ref="U4">int(int(int(int(int(int($T4*XLOOKUP($N4,Settings[Role],Settings[f(TNC)]))/1000)*XLOOKUP($N4,Settings[Role],Settings[f(WD)]))/100)*XLOOKUP($N4,Settings[Role],Settings[Trait]))/100)</f>
        <v>0</v>
      </c>
      <c r="V4" s="31"/>
      <c r="W4" s="31">
        <f t="array" ref="W4">int(if($V4&lt;&gt;"",XLOOKUP($N4,Settings[Role],Settings[HP])*$V4,""))</f>
        <v>0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ht="22.5" customHeight="1">
      <c r="A5" s="31" t="s">
        <v>1110</v>
      </c>
      <c r="B5" s="32" t="str">
        <f>IMAGE("https://lds-img.finalfantasyxiv.com/d/f71e2c46512c1e937c0ff316be668d853869c637.png")</f>
        <v/>
      </c>
      <c r="C5" s="31">
        <v>76.0</v>
      </c>
      <c r="D5" s="31" t="s">
        <v>1111</v>
      </c>
      <c r="E5" s="31">
        <v>90.0</v>
      </c>
      <c r="F5" s="31"/>
      <c r="G5" s="31"/>
      <c r="H5" s="31">
        <v>15.0</v>
      </c>
      <c r="I5" s="31"/>
      <c r="J5" s="31">
        <v>300.0</v>
      </c>
      <c r="K5" s="31">
        <v>100.0</v>
      </c>
      <c r="L5" s="31"/>
      <c r="M5" s="31">
        <v>30.0</v>
      </c>
      <c r="N5" s="31" t="s">
        <v>1106</v>
      </c>
      <c r="O5" s="31">
        <f t="array" ref="O5">int(int(int($J5*XLOOKUP($N5,Settings[Role],Settings[f(HMP)])*XLOOKUP($N5,Settings[Role],Settings[f(DET)]))/100)/1000)</f>
        <v>7474</v>
      </c>
      <c r="P5" s="31">
        <f t="array" ref="P5">int(int(int(int(int(int($O5*XLOOKUP($N5,Settings[Role],Settings[f(TNC)]))/1000)*XLOOKUP($N5,Settings[Role],Settings[f(WD)]))/100)*XLOOKUP($N5,Settings[Role],Settings[Trait]))/100)</f>
        <v>15331</v>
      </c>
      <c r="Q5" s="31">
        <f t="array" ref="Q5">int(int(int($K5*XLOOKUP($N5,Settings[Role],Settings[f(HMP)])*XLOOKUP($N5,Settings[Role],Settings[f(DET)]))/100)/1000)</f>
        <v>2491</v>
      </c>
      <c r="R5" s="31">
        <f t="array" ref="R5">int(int(int(int(int(int(int(int($Q5*XLOOKUP($N5,Settings[Role],Settings[f(TNC)]))/1000)
*XLOOKUP($N5,Settings[Role],Settings[f(SPD)]))/1000)
*XLOOKUP($N5,Settings[Role],Settings[f(WD)]))/100)
*XLOOKUP($N5,Settings[Role],Settings[Trait]))/100)</f>
        <v>5108</v>
      </c>
      <c r="S5" s="31">
        <f t="shared" si="1"/>
        <v>25540</v>
      </c>
      <c r="T5" s="31">
        <f t="array" ref="T5">int(int(int($L5*XLOOKUP($N5,Settings[Role],Settings[f(HMP)])*XLOOKUP($N5,Settings[Role],Settings[f(DET)]))/100)/1000)</f>
        <v>0</v>
      </c>
      <c r="U5" s="31">
        <f t="array" ref="U5">int(int(int(int(int(int($T5*XLOOKUP($N5,Settings[Role],Settings[f(TNC)]))/1000)*XLOOKUP($N5,Settings[Role],Settings[f(WD)]))/100)*XLOOKUP($N5,Settings[Role],Settings[Trait]))/100)</f>
        <v>0</v>
      </c>
      <c r="V5" s="31">
        <v>0.15</v>
      </c>
      <c r="W5" s="31">
        <f t="array" ref="W5">int(if($V5&lt;&gt;"",XLOOKUP($N5,Settings[Role],Settings[HP])*$V5,""))</f>
        <v>44429</v>
      </c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</row>
    <row r="6" ht="22.5" customHeight="1">
      <c r="A6" s="31" t="s">
        <v>1112</v>
      </c>
      <c r="B6" s="32" t="str">
        <f>IMAGE("https://lds-img.finalfantasyxiv.com/d/1dc1a1d830e5355e2cd251531e85932c24ba1b8d.png")</f>
        <v/>
      </c>
      <c r="C6" s="31">
        <v>76.0</v>
      </c>
      <c r="D6" s="31" t="s">
        <v>1113</v>
      </c>
      <c r="E6" s="31">
        <v>90.0</v>
      </c>
      <c r="F6" s="31"/>
      <c r="G6" s="31">
        <v>0.9</v>
      </c>
      <c r="H6" s="31">
        <v>15.0</v>
      </c>
      <c r="I6" s="31"/>
      <c r="J6" s="31"/>
      <c r="K6" s="32"/>
      <c r="L6" s="32"/>
      <c r="M6" s="31"/>
      <c r="N6" s="31" t="s">
        <v>1106</v>
      </c>
      <c r="O6" s="31">
        <f t="array" ref="O6">int(int(int($J6*XLOOKUP($N6,Settings[Role],Settings[f(HMP)])*XLOOKUP($N6,Settings[Role],Settings[f(DET)]))/100)/1000)</f>
        <v>0</v>
      </c>
      <c r="P6" s="31">
        <f t="array" ref="P6">int(int(int(int(int(int($O6*XLOOKUP($N6,Settings[Role],Settings[f(TNC)]))/1000)*XLOOKUP($N6,Settings[Role],Settings[f(WD)]))/100)*XLOOKUP($N6,Settings[Role],Settings[Trait]))/100)</f>
        <v>0</v>
      </c>
      <c r="Q6" s="31">
        <f t="array" ref="Q6">int(int(int($K6*XLOOKUP($N6,Settings[Role],Settings[f(HMP)])*XLOOKUP($N6,Settings[Role],Settings[f(DET)]))/100)/1000)</f>
        <v>0</v>
      </c>
      <c r="R6" s="31">
        <f t="array" ref="R6">int(int(int(int(int(int(int(int($Q6*XLOOKUP($N6,Settings[Role],Settings[f(TNC)]))/1000)
*XLOOKUP($N6,Settings[Role],Settings[f(SPD)]))/1000)
*XLOOKUP($N6,Settings[Role],Settings[f(WD)]))/100)
*XLOOKUP($N6,Settings[Role],Settings[Trait]))/100)</f>
        <v>0</v>
      </c>
      <c r="S6" s="31">
        <f t="shared" si="1"/>
        <v>0</v>
      </c>
      <c r="T6" s="31">
        <f t="array" ref="T6">int(int(int($L6*XLOOKUP($N6,Settings[Role],Settings[f(HMP)])*XLOOKUP($N6,Settings[Role],Settings[f(DET)]))/100)/1000)</f>
        <v>0</v>
      </c>
      <c r="U6" s="31">
        <f t="array" ref="U6">int(int(int(int(int(int($T6*XLOOKUP($N6,Settings[Role],Settings[f(TNC)]))/1000)*XLOOKUP($N6,Settings[Role],Settings[f(WD)]))/100)*XLOOKUP($N6,Settings[Role],Settings[Trait]))/100)</f>
        <v>0</v>
      </c>
      <c r="V6" s="31"/>
      <c r="W6" s="31">
        <f t="array" ref="W6">int(if($V6&lt;&gt;"",XLOOKUP($N6,Settings[Role],Settings[HP])*$V6,""))</f>
        <v>0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</row>
    <row r="7" ht="22.5" customHeight="1">
      <c r="A7" s="31" t="s">
        <v>1112</v>
      </c>
      <c r="B7" s="32" t="str">
        <f>IMAGE("https://lds-img.finalfantasyxiv.com/d/f82c8fbcd6549c8cd72108a937aade172f8b98a8.png")</f>
        <v/>
      </c>
      <c r="C7" s="31">
        <v>70.0</v>
      </c>
      <c r="D7" s="31" t="s">
        <v>1114</v>
      </c>
      <c r="E7" s="31">
        <v>15.0</v>
      </c>
      <c r="F7" s="31"/>
      <c r="G7" s="31"/>
      <c r="H7" s="31"/>
      <c r="I7" s="31"/>
      <c r="J7" s="31"/>
      <c r="K7" s="32"/>
      <c r="L7" s="32"/>
      <c r="M7" s="31">
        <v>7.0</v>
      </c>
      <c r="N7" s="31" t="s">
        <v>1106</v>
      </c>
      <c r="O7" s="31">
        <f t="array" ref="O7">int(int(int($J7*XLOOKUP($N7,Settings[Role],Settings[f(HMP)])*XLOOKUP($N7,Settings[Role],Settings[f(DET)]))/100)/1000)</f>
        <v>0</v>
      </c>
      <c r="P7" s="31">
        <f t="array" ref="P7">int(int(int(int(int(int($O7*XLOOKUP($N7,Settings[Role],Settings[f(TNC)]))/1000)*XLOOKUP($N7,Settings[Role],Settings[f(WD)]))/100)*XLOOKUP($N7,Settings[Role],Settings[Trait]))/100)</f>
        <v>0</v>
      </c>
      <c r="Q7" s="31">
        <f t="array" ref="Q7">int(int(int($K7*XLOOKUP($N7,Settings[Role],Settings[f(HMP)])*XLOOKUP($N7,Settings[Role],Settings[f(DET)]))/100)/1000)</f>
        <v>0</v>
      </c>
      <c r="R7" s="31">
        <f t="array" ref="R7">int(int(int(int(int(int(int(int($Q7*XLOOKUP($N7,Settings[Role],Settings[f(TNC)]))/1000)
*XLOOKUP($N7,Settings[Role],Settings[f(SPD)]))/1000)
*XLOOKUP($N7,Settings[Role],Settings[f(WD)]))/100)
*XLOOKUP($N7,Settings[Role],Settings[Trait]))/100)</f>
        <v>0</v>
      </c>
      <c r="S7" s="31">
        <f t="shared" si="1"/>
        <v>0</v>
      </c>
      <c r="T7" s="31">
        <f t="array" ref="T7">int(int(int($L7*XLOOKUP($N7,Settings[Role],Settings[f(HMP)])*XLOOKUP($N7,Settings[Role],Settings[f(DET)]))/100)/1000)</f>
        <v>0</v>
      </c>
      <c r="U7" s="31">
        <f t="array" ref="U7">int(int(int(int(int(int($T7*XLOOKUP($N7,Settings[Role],Settings[f(TNC)]))/1000)*XLOOKUP($N7,Settings[Role],Settings[f(WD)]))/100)*XLOOKUP($N7,Settings[Role],Settings[Trait]))/100)</f>
        <v>0</v>
      </c>
      <c r="V7" s="31">
        <v>0.25</v>
      </c>
      <c r="W7" s="31">
        <f t="array" ref="W7">int(if($V7&lt;&gt;"",XLOOKUP($N7,Settings[Role],Settings[HP])*$V7,""))</f>
        <v>74048</v>
      </c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</row>
    <row r="8" ht="22.5" customHeight="1">
      <c r="A8" s="31" t="s">
        <v>1115</v>
      </c>
      <c r="B8" s="32" t="str">
        <f>IMAGE("https://lds-img.finalfantasyxiv.com/d/04bbce4afc048a15cdccdd0495e679f90b115963.png")</f>
        <v/>
      </c>
      <c r="C8" s="31">
        <v>64.0</v>
      </c>
      <c r="D8" s="31" t="s">
        <v>1116</v>
      </c>
      <c r="E8" s="31">
        <v>90.0</v>
      </c>
      <c r="F8" s="31"/>
      <c r="G8" s="31">
        <v>0.9</v>
      </c>
      <c r="H8" s="31">
        <v>15.0</v>
      </c>
      <c r="I8" s="31"/>
      <c r="J8" s="31"/>
      <c r="K8" s="32"/>
      <c r="L8" s="32"/>
      <c r="M8" s="31"/>
      <c r="N8" s="31" t="s">
        <v>1106</v>
      </c>
      <c r="O8" s="31">
        <f t="array" ref="O8">int(int(int($J8*XLOOKUP($N8,Settings[Role],Settings[f(HMP)])*XLOOKUP($N8,Settings[Role],Settings[f(DET)]))/100)/1000)</f>
        <v>0</v>
      </c>
      <c r="P8" s="31">
        <f t="array" ref="P8">int(int(int(int(int(int($O8*XLOOKUP($N8,Settings[Role],Settings[f(TNC)]))/1000)*XLOOKUP($N8,Settings[Role],Settings[f(WD)]))/100)*XLOOKUP($N8,Settings[Role],Settings[Trait]))/100)</f>
        <v>0</v>
      </c>
      <c r="Q8" s="31">
        <f t="array" ref="Q8">int(int(int($K8*XLOOKUP($N8,Settings[Role],Settings[f(HMP)])*XLOOKUP($N8,Settings[Role],Settings[f(DET)]))/100)/1000)</f>
        <v>0</v>
      </c>
      <c r="R8" s="31">
        <f t="array" ref="R8">int(int(int(int(int(int(int(int($Q8*XLOOKUP($N8,Settings[Role],Settings[f(TNC)]))/1000)
*XLOOKUP($N8,Settings[Role],Settings[f(SPD)]))/1000)
*XLOOKUP($N8,Settings[Role],Settings[f(WD)]))/100)
*XLOOKUP($N8,Settings[Role],Settings[Trait]))/100)</f>
        <v>0</v>
      </c>
      <c r="S8" s="31">
        <f t="shared" si="1"/>
        <v>0</v>
      </c>
      <c r="T8" s="31">
        <f t="array" ref="T8">int(int(int($L8*XLOOKUP($N8,Settings[Role],Settings[f(HMP)])*XLOOKUP($N8,Settings[Role],Settings[f(DET)]))/100)/1000)</f>
        <v>0</v>
      </c>
      <c r="U8" s="31">
        <f t="array" ref="U8">int(int(int(int(int(int($T8*XLOOKUP($N8,Settings[Role],Settings[f(TNC)]))/1000)*XLOOKUP($N8,Settings[Role],Settings[f(WD)]))/100)*XLOOKUP($N8,Settings[Role],Settings[Trait]))/100)</f>
        <v>0</v>
      </c>
      <c r="V8" s="31"/>
      <c r="W8" s="31">
        <f t="array" ref="W8">int(if($V8&lt;&gt;"",XLOOKUP($N8,Settings[Role],Settings[HP])*$V8,""))</f>
        <v>0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ht="22.5" customHeight="1">
      <c r="A9" s="31" t="s">
        <v>1108</v>
      </c>
      <c r="B9" s="32" t="str">
        <f>IMAGE("https://lds-img.finalfantasyxiv.com/d/ad8de6373f0bc939fd654a579d6d06ad123c958b.png")</f>
        <v/>
      </c>
      <c r="C9" s="31">
        <v>94.0</v>
      </c>
      <c r="D9" s="31" t="s">
        <v>1117</v>
      </c>
      <c r="E9" s="31">
        <v>90.0</v>
      </c>
      <c r="F9" s="31"/>
      <c r="G9" s="31"/>
      <c r="H9" s="31">
        <v>20.0</v>
      </c>
      <c r="I9" s="31">
        <v>1.15</v>
      </c>
      <c r="J9" s="31"/>
      <c r="K9" s="32"/>
      <c r="L9" s="32"/>
      <c r="M9" s="31"/>
      <c r="N9" s="31" t="s">
        <v>1106</v>
      </c>
      <c r="O9" s="31">
        <f t="array" ref="O9">int(int(int($J9*XLOOKUP($N9,Settings[Role],Settings[f(HMP)])*XLOOKUP($N9,Settings[Role],Settings[f(DET)]))/100)/1000)</f>
        <v>0</v>
      </c>
      <c r="P9" s="31">
        <f t="array" ref="P9">int(int(int(int(int(int($O9*XLOOKUP($N9,Settings[Role],Settings[f(TNC)]))/1000)*XLOOKUP($N9,Settings[Role],Settings[f(WD)]))/100)*XLOOKUP($N9,Settings[Role],Settings[Trait]))/100)</f>
        <v>0</v>
      </c>
      <c r="Q9" s="31">
        <f t="array" ref="Q9">int(int(int($K9*XLOOKUP($N9,Settings[Role],Settings[f(HMP)])*XLOOKUP($N9,Settings[Role],Settings[f(DET)]))/100)/1000)</f>
        <v>0</v>
      </c>
      <c r="R9" s="31">
        <f t="array" ref="R9">int(int(int(int(int(int(int(int($Q9*XLOOKUP($N9,Settings[Role],Settings[f(TNC)]))/1000)
*XLOOKUP($N9,Settings[Role],Settings[f(SPD)]))/1000)
*XLOOKUP($N9,Settings[Role],Settings[f(WD)]))/100)
*XLOOKUP($N9,Settings[Role],Settings[Trait]))/100)</f>
        <v>0</v>
      </c>
      <c r="S9" s="31">
        <f t="shared" si="1"/>
        <v>0</v>
      </c>
      <c r="T9" s="31">
        <f t="array" ref="T9">int(int(int($L9*XLOOKUP($N9,Settings[Role],Settings[f(HMP)])*XLOOKUP($N9,Settings[Role],Settings[f(DET)]))/100)/1000)</f>
        <v>0</v>
      </c>
      <c r="U9" s="31">
        <f t="array" ref="U9">int(int(int(int(int(int($T9*XLOOKUP($N9,Settings[Role],Settings[f(TNC)]))/1000)*XLOOKUP($N9,Settings[Role],Settings[f(WD)]))/100)*XLOOKUP($N9,Settings[Role],Settings[Trait]))/100)</f>
        <v>0</v>
      </c>
      <c r="V9" s="31"/>
      <c r="W9" s="31">
        <f t="array" ref="W9">int(if($V9&lt;&gt;"",XLOOKUP($N9,Settings[Role],Settings[HP])*$V9,""))</f>
        <v>0</v>
      </c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</row>
    <row r="10" ht="22.5" customHeight="1">
      <c r="A10" s="31" t="s">
        <v>1118</v>
      </c>
      <c r="B10" s="32" t="str">
        <f>IMAGE("https://lds-img.finalfantasyxiv.com/d/6c5fd075bab7c063aef743a1de5e36958354b42b.png")</f>
        <v/>
      </c>
      <c r="C10" s="31">
        <v>10.0</v>
      </c>
      <c r="D10" s="31" t="s">
        <v>1119</v>
      </c>
      <c r="E10" s="31">
        <v>2.5</v>
      </c>
      <c r="F10" s="31"/>
      <c r="G10" s="31"/>
      <c r="H10" s="31"/>
      <c r="I10" s="31"/>
      <c r="J10" s="31">
        <v>400.0</v>
      </c>
      <c r="K10" s="32"/>
      <c r="L10" s="32"/>
      <c r="M10" s="31"/>
      <c r="N10" s="31" t="s">
        <v>1120</v>
      </c>
      <c r="O10" s="31">
        <f t="array" ref="O10">int(int(int($J10*XLOOKUP($N10,Settings[Role],Settings[f(HMP)])*XLOOKUP($N10,Settings[Role],Settings[f(DET)]))/100)/1000)</f>
        <v>10414</v>
      </c>
      <c r="P10" s="31">
        <f t="array" ref="P10">int(int(int(int(int(int($O10*XLOOKUP($N10,Settings[Role],Settings[f(TNC)]))/1000)*XLOOKUP($N10,Settings[Role],Settings[f(WD)]))/100)*XLOOKUP($N10,Settings[Role],Settings[Trait]))/100)</f>
        <v>27617</v>
      </c>
      <c r="Q10" s="31">
        <f t="array" ref="Q10">int(int(int($K10*XLOOKUP($N10,Settings[Role],Settings[f(HMP)])*XLOOKUP($N10,Settings[Role],Settings[f(DET)]))/100)/1000)</f>
        <v>0</v>
      </c>
      <c r="R10" s="31">
        <f t="array" ref="R10">int(int(int(int(int(int(int(int($Q10*XLOOKUP($N10,Settings[Role],Settings[f(TNC)]))/1000)
*XLOOKUP($N10,Settings[Role],Settings[f(SPD)]))/1000)
*XLOOKUP($N10,Settings[Role],Settings[f(WD)]))/100)
*XLOOKUP($N10,Settings[Role],Settings[Trait]))/100)</f>
        <v>0</v>
      </c>
      <c r="S10" s="31">
        <f t="shared" si="1"/>
        <v>0</v>
      </c>
      <c r="T10" s="31">
        <f t="array" ref="T10">int(int(int($L10*XLOOKUP($N10,Settings[Role],Settings[f(HMP)])*XLOOKUP($N10,Settings[Role],Settings[f(DET)]))/100)/1000)</f>
        <v>0</v>
      </c>
      <c r="U10" s="31">
        <f t="array" ref="U10">int(int(int(int(int(int($T10*XLOOKUP($N10,Settings[Role],Settings[f(TNC)]))/1000)*XLOOKUP($N10,Settings[Role],Settings[f(WD)]))/100)*XLOOKUP($N10,Settings[Role],Settings[Trait]))/100)</f>
        <v>0</v>
      </c>
      <c r="V10" s="31"/>
      <c r="W10" s="31">
        <f t="array" ref="W10">int(if($V10&lt;&gt;"",XLOOKUP($N10,Settings[Role],Settings[HP])*$V10,""))</f>
        <v>0</v>
      </c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</row>
    <row r="11" ht="22.5" customHeight="1">
      <c r="A11" s="31" t="s">
        <v>1118</v>
      </c>
      <c r="B11" s="32" t="str">
        <f>IMAGE("https://lds-img.finalfantasyxiv.com/d/a70a8e3dcb347c11047f00945f9435687f21f06d.png")</f>
        <v/>
      </c>
      <c r="C11" s="31">
        <v>30.0</v>
      </c>
      <c r="D11" s="31" t="s">
        <v>1121</v>
      </c>
      <c r="E11" s="31">
        <v>2.5</v>
      </c>
      <c r="F11" s="31"/>
      <c r="G11" s="31"/>
      <c r="H11" s="31"/>
      <c r="I11" s="31"/>
      <c r="J11" s="31">
        <v>800.0</v>
      </c>
      <c r="K11" s="32"/>
      <c r="L11" s="32"/>
      <c r="M11" s="31"/>
      <c r="N11" s="31" t="s">
        <v>1120</v>
      </c>
      <c r="O11" s="31">
        <f t="array" ref="O11">int(int(int($J11*XLOOKUP($N11,Settings[Role],Settings[f(HMP)])*XLOOKUP($N11,Settings[Role],Settings[f(DET)]))/100)/1000)</f>
        <v>20829</v>
      </c>
      <c r="P11" s="31">
        <f t="array" ref="P11">int(int(int(int(int(int($O11*XLOOKUP($N11,Settings[Role],Settings[f(TNC)]))/1000)*XLOOKUP($N11,Settings[Role],Settings[f(WD)]))/100)*XLOOKUP($N11,Settings[Role],Settings[Trait]))/100)</f>
        <v>55238</v>
      </c>
      <c r="Q11" s="31">
        <f t="array" ref="Q11">int(int(int($K11*XLOOKUP($N11,Settings[Role],Settings[f(HMP)])*XLOOKUP($N11,Settings[Role],Settings[f(DET)]))/100)/1000)</f>
        <v>0</v>
      </c>
      <c r="R11" s="31">
        <f t="array" ref="R11">int(int(int(int(int(int(int(int($Q11*XLOOKUP($N11,Settings[Role],Settings[f(TNC)]))/1000)
*XLOOKUP($N11,Settings[Role],Settings[f(SPD)]))/1000)
*XLOOKUP($N11,Settings[Role],Settings[f(WD)]))/100)
*XLOOKUP($N11,Settings[Role],Settings[Trait]))/100)</f>
        <v>0</v>
      </c>
      <c r="S11" s="31">
        <f t="shared" si="1"/>
        <v>0</v>
      </c>
      <c r="T11" s="31">
        <f t="array" ref="T11">int(int(int($L11*XLOOKUP($N11,Settings[Role],Settings[f(HMP)])*XLOOKUP($N11,Settings[Role],Settings[f(DET)]))/100)/1000)</f>
        <v>0</v>
      </c>
      <c r="U11" s="31">
        <f t="array" ref="U11">int(int(int(int(int(int($T11*XLOOKUP($N11,Settings[Role],Settings[f(TNC)]))/1000)*XLOOKUP($N11,Settings[Role],Settings[f(WD)]))/100)*XLOOKUP($N11,Settings[Role],Settings[Trait]))/100)</f>
        <v>0</v>
      </c>
      <c r="V11" s="31"/>
      <c r="W11" s="31">
        <f t="array" ref="W11">int(if($V11&lt;&gt;"",XLOOKUP($N11,Settings[Role],Settings[HP])*$V11,""))</f>
        <v>0</v>
      </c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</row>
    <row r="12" ht="22.5" customHeight="1">
      <c r="A12" s="31" t="s">
        <v>1118</v>
      </c>
      <c r="B12" s="32" t="str">
        <f>IMAGE("https://lds-img.finalfantasyxiv.com/d/53bb0b4fc881c4c06d64c915864968cced6c6201.png")</f>
        <v/>
      </c>
      <c r="C12" s="31">
        <v>35.0</v>
      </c>
      <c r="D12" s="31" t="s">
        <v>1122</v>
      </c>
      <c r="E12" s="31">
        <v>2.5</v>
      </c>
      <c r="F12" s="31"/>
      <c r="G12" s="31"/>
      <c r="H12" s="31">
        <v>18.0</v>
      </c>
      <c r="I12" s="31"/>
      <c r="J12" s="31"/>
      <c r="K12" s="31">
        <v>250.0</v>
      </c>
      <c r="L12" s="32"/>
      <c r="M12" s="31"/>
      <c r="N12" s="31" t="s">
        <v>1120</v>
      </c>
      <c r="O12" s="31">
        <f t="array" ref="O12">int(int(int($J12*XLOOKUP($N12,Settings[Role],Settings[f(HMP)])*XLOOKUP($N12,Settings[Role],Settings[f(DET)]))/100)/1000)</f>
        <v>0</v>
      </c>
      <c r="P12" s="31">
        <f t="array" ref="P12">int(int(int(int(int(int($O12*XLOOKUP($N12,Settings[Role],Settings[f(TNC)]))/1000)*XLOOKUP($N12,Settings[Role],Settings[f(WD)]))/100)*XLOOKUP($N12,Settings[Role],Settings[Trait]))/100)</f>
        <v>0</v>
      </c>
      <c r="Q12" s="31">
        <f t="array" ref="Q12">int(int(int($K12*XLOOKUP($N12,Settings[Role],Settings[f(HMP)])*XLOOKUP($N12,Settings[Role],Settings[f(DET)]))/100)/1000)</f>
        <v>6509</v>
      </c>
      <c r="R12" s="31">
        <f t="array" ref="R12">int(int(int(int(int(int(int(int($Q12*XLOOKUP($N12,Settings[Role],Settings[f(TNC)]))/1000)
*XLOOKUP($N12,Settings[Role],Settings[f(SPD)]))/1000)
*XLOOKUP($N12,Settings[Role],Settings[f(WD)]))/100)
*XLOOKUP($N12,Settings[Role],Settings[Trait]))/100)</f>
        <v>17897</v>
      </c>
      <c r="S12" s="31">
        <f t="shared" si="1"/>
        <v>107382</v>
      </c>
      <c r="T12" s="31">
        <f t="array" ref="T12">int(int(int($L12*XLOOKUP($N12,Settings[Role],Settings[f(HMP)])*XLOOKUP($N12,Settings[Role],Settings[f(DET)]))/100)/1000)</f>
        <v>0</v>
      </c>
      <c r="U12" s="31">
        <f t="array" ref="U12">int(int(int(int(int(int($T12*XLOOKUP($N12,Settings[Role],Settings[f(TNC)]))/1000)*XLOOKUP($N12,Settings[Role],Settings[f(WD)]))/100)*XLOOKUP($N12,Settings[Role],Settings[Trait]))/100)</f>
        <v>0</v>
      </c>
      <c r="V12" s="31"/>
      <c r="W12" s="31">
        <f t="array" ref="W12">int(if($V12&lt;&gt;"",XLOOKUP($N12,Settings[Role],Settings[HP])*$V12,""))</f>
        <v>0</v>
      </c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ht="22.5" customHeight="1">
      <c r="A13" s="31" t="s">
        <v>1118</v>
      </c>
      <c r="B13" s="32" t="str">
        <f>IMAGE("https://lds-img.finalfantasyxiv.com/d/33c3597ee1004e364a6331f732f077666e798acd.png")</f>
        <v/>
      </c>
      <c r="C13" s="31">
        <v>40.0</v>
      </c>
      <c r="D13" s="31" t="s">
        <v>144</v>
      </c>
      <c r="E13" s="31">
        <v>2.5</v>
      </c>
      <c r="F13" s="31"/>
      <c r="G13" s="31"/>
      <c r="H13" s="31"/>
      <c r="I13" s="31"/>
      <c r="J13" s="31">
        <v>600.0</v>
      </c>
      <c r="K13" s="32"/>
      <c r="L13" s="32"/>
      <c r="M13" s="31"/>
      <c r="N13" s="31" t="s">
        <v>1120</v>
      </c>
      <c r="O13" s="31">
        <f t="array" ref="O13">int(int(int($J13*XLOOKUP($N13,Settings[Role],Settings[f(HMP)])*XLOOKUP($N13,Settings[Role],Settings[f(DET)]))/100)/1000)</f>
        <v>15622</v>
      </c>
      <c r="P13" s="31">
        <f t="array" ref="P13">int(int(int(int(int(int($O13*XLOOKUP($N13,Settings[Role],Settings[f(TNC)]))/1000)*XLOOKUP($N13,Settings[Role],Settings[f(WD)]))/100)*XLOOKUP($N13,Settings[Role],Settings[Trait]))/100)</f>
        <v>41428</v>
      </c>
      <c r="Q13" s="31">
        <f t="array" ref="Q13">int(int(int($K13*XLOOKUP($N13,Settings[Role],Settings[f(HMP)])*XLOOKUP($N13,Settings[Role],Settings[f(DET)]))/100)/1000)</f>
        <v>0</v>
      </c>
      <c r="R13" s="31">
        <f t="array" ref="R13">int(int(int(int(int(int(int(int($Q13*XLOOKUP($N13,Settings[Role],Settings[f(TNC)]))/1000)
*XLOOKUP($N13,Settings[Role],Settings[f(SPD)]))/1000)
*XLOOKUP($N13,Settings[Role],Settings[f(WD)]))/100)
*XLOOKUP($N13,Settings[Role],Settings[Trait]))/100)</f>
        <v>0</v>
      </c>
      <c r="S13" s="31">
        <f t="shared" si="1"/>
        <v>0</v>
      </c>
      <c r="T13" s="31">
        <f t="array" ref="T13">int(int(int($L13*XLOOKUP($N13,Settings[Role],Settings[f(HMP)])*XLOOKUP($N13,Settings[Role],Settings[f(DET)]))/100)/1000)</f>
        <v>0</v>
      </c>
      <c r="U13" s="31">
        <f t="array" ref="U13">int(int(int(int(int(int($T13*XLOOKUP($N13,Settings[Role],Settings[f(TNC)]))/1000)*XLOOKUP($N13,Settings[Role],Settings[f(WD)]))/100)*XLOOKUP($N13,Settings[Role],Settings[Trait]))/100)</f>
        <v>0</v>
      </c>
      <c r="V13" s="31"/>
      <c r="W13" s="31">
        <f t="array" ref="W13">int(if($V13&lt;&gt;"",XLOOKUP($N13,Settings[Role],Settings[HP])*$V13,""))</f>
        <v>0</v>
      </c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ht="22.5" customHeight="1">
      <c r="A14" s="31" t="s">
        <v>1118</v>
      </c>
      <c r="B14" s="32" t="str">
        <f>IMAGE("https://lds-img.finalfantasyxiv.com/d/530234ed64e2b5b5aaacf978a90d87932734272f.png")</f>
        <v/>
      </c>
      <c r="C14" s="31">
        <v>50.0</v>
      </c>
      <c r="D14" s="31" t="s">
        <v>141</v>
      </c>
      <c r="E14" s="31">
        <v>2.5</v>
      </c>
      <c r="F14" s="31"/>
      <c r="G14" s="31"/>
      <c r="H14" s="31">
        <v>15.0</v>
      </c>
      <c r="I14" s="31"/>
      <c r="J14" s="31">
        <v>250.0</v>
      </c>
      <c r="K14" s="31">
        <v>150.0</v>
      </c>
      <c r="L14" s="32"/>
      <c r="M14" s="31"/>
      <c r="N14" s="31" t="s">
        <v>1120</v>
      </c>
      <c r="O14" s="31">
        <f t="array" ref="O14">int(int(int($J14*XLOOKUP($N14,Settings[Role],Settings[f(HMP)])*XLOOKUP($N14,Settings[Role],Settings[f(DET)]))/100)/1000)</f>
        <v>6509</v>
      </c>
      <c r="P14" s="31">
        <f t="array" ref="P14">int(int(int(int(int(int($O14*XLOOKUP($N14,Settings[Role],Settings[f(TNC)]))/1000)*XLOOKUP($N14,Settings[Role],Settings[f(WD)]))/100)*XLOOKUP($N14,Settings[Role],Settings[Trait]))/100)</f>
        <v>17261</v>
      </c>
      <c r="Q14" s="31">
        <f t="array" ref="Q14">int(int(int($K14*XLOOKUP($N14,Settings[Role],Settings[f(HMP)])*XLOOKUP($N14,Settings[Role],Settings[f(DET)]))/100)/1000)</f>
        <v>3905</v>
      </c>
      <c r="R14" s="31">
        <f t="array" ref="R14">int(int(int(int(int(int(int(int($Q14*XLOOKUP($N14,Settings[Role],Settings[f(TNC)]))/1000)
*XLOOKUP($N14,Settings[Role],Settings[f(SPD)]))/1000)
*XLOOKUP($N14,Settings[Role],Settings[f(WD)]))/100)
*XLOOKUP($N14,Settings[Role],Settings[Trait]))/100)</f>
        <v>10736</v>
      </c>
      <c r="S14" s="31">
        <f t="shared" si="1"/>
        <v>53680</v>
      </c>
      <c r="T14" s="31">
        <f t="array" ref="T14">int(int(int($L14*XLOOKUP($N14,Settings[Role],Settings[f(HMP)])*XLOOKUP($N14,Settings[Role],Settings[f(DET)]))/100)/1000)</f>
        <v>0</v>
      </c>
      <c r="U14" s="31">
        <f t="array" ref="U14">int(int(int(int(int(int($T14*XLOOKUP($N14,Settings[Role],Settings[f(TNC)]))/1000)*XLOOKUP($N14,Settings[Role],Settings[f(WD)]))/100)*XLOOKUP($N14,Settings[Role],Settings[Trait]))/100)</f>
        <v>0</v>
      </c>
      <c r="V14" s="31"/>
      <c r="W14" s="31">
        <f t="array" ref="W14">int(if($V14&lt;&gt;"",XLOOKUP($N14,Settings[Role],Settings[HP])*$V14,""))</f>
        <v>0</v>
      </c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</row>
    <row r="15" ht="22.5" customHeight="1">
      <c r="A15" s="31" t="s">
        <v>1118</v>
      </c>
      <c r="B15" s="32" t="str">
        <f>IMAGE("https://lds-img.finalfantasyxiv.com/d/2144617daa9bac9ea7bc1f063a9e0cd033fcd363.png")</f>
        <v/>
      </c>
      <c r="C15" s="31">
        <v>70.0</v>
      </c>
      <c r="D15" s="31" t="s">
        <v>1123</v>
      </c>
      <c r="E15" s="31">
        <v>60.0</v>
      </c>
      <c r="F15" s="31"/>
      <c r="G15" s="31">
        <v>0.9</v>
      </c>
      <c r="H15" s="31">
        <v>10.0</v>
      </c>
      <c r="I15" s="31"/>
      <c r="J15" s="31"/>
      <c r="K15" s="31"/>
      <c r="L15" s="32"/>
      <c r="M15" s="31"/>
      <c r="N15" s="31" t="s">
        <v>1120</v>
      </c>
      <c r="O15" s="31">
        <f t="array" ref="O15">int(int(int($J15*XLOOKUP($N15,Settings[Role],Settings[f(HMP)])*XLOOKUP($N15,Settings[Role],Settings[f(DET)]))/100)/1000)</f>
        <v>0</v>
      </c>
      <c r="P15" s="31">
        <f t="array" ref="P15">int(int(int(int(int(int($O15*XLOOKUP($N15,Settings[Role],Settings[f(TNC)]))/1000)*XLOOKUP($N15,Settings[Role],Settings[f(WD)]))/100)*XLOOKUP($N15,Settings[Role],Settings[Trait]))/100)</f>
        <v>0</v>
      </c>
      <c r="Q15" s="31">
        <f t="array" ref="Q15">int(int(int($K15*XLOOKUP($N15,Settings[Role],Settings[f(HMP)])*XLOOKUP($N15,Settings[Role],Settings[f(DET)]))/100)/1000)</f>
        <v>0</v>
      </c>
      <c r="R15" s="31">
        <f t="array" ref="R15">int(int(int(int(int(int(int(int($Q15*XLOOKUP($N15,Settings[Role],Settings[f(TNC)]))/1000)
*XLOOKUP($N15,Settings[Role],Settings[f(SPD)]))/1000)
*XLOOKUP($N15,Settings[Role],Settings[f(WD)]))/100)
*XLOOKUP($N15,Settings[Role],Settings[Trait]))/100)</f>
        <v>0</v>
      </c>
      <c r="S15" s="31">
        <f t="shared" si="1"/>
        <v>0</v>
      </c>
      <c r="T15" s="31">
        <f t="array" ref="T15">int(int(int($L15*XLOOKUP($N15,Settings[Role],Settings[f(HMP)])*XLOOKUP($N15,Settings[Role],Settings[f(DET)]))/100)/1000)</f>
        <v>0</v>
      </c>
      <c r="U15" s="31">
        <f t="array" ref="U15">int(int(int(int(int(int($T15*XLOOKUP($N15,Settings[Role],Settings[f(TNC)]))/1000)*XLOOKUP($N15,Settings[Role],Settings[f(WD)]))/100)*XLOOKUP($N15,Settings[Role],Settings[Trait]))/100)</f>
        <v>0</v>
      </c>
      <c r="V15" s="31"/>
      <c r="W15" s="31">
        <f t="array" ref="W15">int(if($V15&lt;&gt;"",XLOOKUP($N15,Settings[Role],Settings[HP])*$V15,""))</f>
        <v>0</v>
      </c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</row>
    <row r="16" ht="22.5" customHeight="1">
      <c r="A16" s="31" t="s">
        <v>1118</v>
      </c>
      <c r="B16" s="32" t="str">
        <f>IMAGE("https://lds-img.finalfantasyxiv.com/d/cf3242dc922e88211cb5b2c4aa67f9ae79fb88fb.png")</f>
        <v/>
      </c>
      <c r="C16" s="31">
        <v>78.0</v>
      </c>
      <c r="D16" s="31" t="s">
        <v>1124</v>
      </c>
      <c r="E16" s="31">
        <v>90.0</v>
      </c>
      <c r="F16" s="31"/>
      <c r="G16" s="31"/>
      <c r="H16" s="31">
        <v>24.0</v>
      </c>
      <c r="I16" s="31">
        <v>1.1</v>
      </c>
      <c r="J16" s="31"/>
      <c r="K16" s="31">
        <v>100.0</v>
      </c>
      <c r="L16" s="32"/>
      <c r="M16" s="31"/>
      <c r="N16" s="31" t="s">
        <v>1120</v>
      </c>
      <c r="O16" s="31">
        <f t="array" ref="O16">int(int(int($J16*XLOOKUP($N16,Settings[Role],Settings[f(HMP)])*XLOOKUP($N16,Settings[Role],Settings[f(DET)]))/100)/1000)</f>
        <v>0</v>
      </c>
      <c r="P16" s="31">
        <f t="array" ref="P16">int(int(int(int(int(int($O16*XLOOKUP($N16,Settings[Role],Settings[f(TNC)]))/1000)*XLOOKUP($N16,Settings[Role],Settings[f(WD)]))/100)*XLOOKUP($N16,Settings[Role],Settings[Trait]))/100)</f>
        <v>0</v>
      </c>
      <c r="Q16" s="31">
        <f t="array" ref="Q16">int(int(int($K16*XLOOKUP($N16,Settings[Role],Settings[f(HMP)])*XLOOKUP($N16,Settings[Role],Settings[f(DET)]))/100)/1000)</f>
        <v>2603</v>
      </c>
      <c r="R16" s="31">
        <f t="array" ref="R16">int(int(int(int(int(int(int(int($Q16*XLOOKUP($N16,Settings[Role],Settings[f(TNC)]))/1000)
*XLOOKUP($N16,Settings[Role],Settings[f(SPD)]))/1000)
*XLOOKUP($N16,Settings[Role],Settings[f(WD)]))/100)
*XLOOKUP($N16,Settings[Role],Settings[Trait]))/100)</f>
        <v>7156</v>
      </c>
      <c r="S16" s="31">
        <f t="shared" si="1"/>
        <v>57248</v>
      </c>
      <c r="T16" s="31">
        <f t="array" ref="T16">int(int(int($L16*XLOOKUP($N16,Settings[Role],Settings[f(HMP)])*XLOOKUP($N16,Settings[Role],Settings[f(DET)]))/100)/1000)</f>
        <v>0</v>
      </c>
      <c r="U16" s="31">
        <f t="array" ref="U16">int(int(int(int(int(int($T16*XLOOKUP($N16,Settings[Role],Settings[f(TNC)]))/1000)*XLOOKUP($N16,Settings[Role],Settings[f(WD)]))/100)*XLOOKUP($N16,Settings[Role],Settings[Trait]))/100)</f>
        <v>0</v>
      </c>
      <c r="V16" s="31"/>
      <c r="W16" s="31">
        <f t="array" ref="W16">int(if($V16&lt;&gt;"",XLOOKUP($N16,Settings[Role],Settings[HP])*$V16,""))</f>
        <v>0</v>
      </c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</row>
    <row r="17" ht="22.5" customHeight="1">
      <c r="A17" s="31" t="s">
        <v>1118</v>
      </c>
      <c r="B17" s="32" t="str">
        <f>IMAGE("https://lds-img.finalfantasyxiv.com/d/4c9f83b599b37adfa6597ea7e884331cac170a12.png")</f>
        <v/>
      </c>
      <c r="C17" s="31">
        <v>56.0</v>
      </c>
      <c r="D17" s="31" t="s">
        <v>1125</v>
      </c>
      <c r="E17" s="31">
        <v>40.0</v>
      </c>
      <c r="F17" s="31"/>
      <c r="G17" s="31"/>
      <c r="H17" s="31"/>
      <c r="I17" s="31"/>
      <c r="J17" s="31">
        <v>400.0</v>
      </c>
      <c r="K17" s="31"/>
      <c r="L17" s="32"/>
      <c r="M17" s="31"/>
      <c r="N17" s="31" t="s">
        <v>1120</v>
      </c>
      <c r="O17" s="31">
        <f t="array" ref="O17">int(int(int($J17*XLOOKUP($N17,Settings[Role],Settings[f(HMP)])*XLOOKUP($N17,Settings[Role],Settings[f(DET)]))/100)/1000)</f>
        <v>10414</v>
      </c>
      <c r="P17" s="31">
        <f t="array" ref="P17">int(int(int(int(int(int($O17*XLOOKUP($N17,Settings[Role],Settings[f(TNC)]))/1000)*XLOOKUP($N17,Settings[Role],Settings[f(WD)]))/100)*XLOOKUP($N17,Settings[Role],Settings[Trait]))/100)</f>
        <v>27617</v>
      </c>
      <c r="Q17" s="31">
        <f t="array" ref="Q17">int(int(int($K17*XLOOKUP($N17,Settings[Role],Settings[f(HMP)])*XLOOKUP($N17,Settings[Role],Settings[f(DET)]))/100)/1000)</f>
        <v>0</v>
      </c>
      <c r="R17" s="31">
        <f t="array" ref="R17">int(int(int(int(int(int(int(int($Q17*XLOOKUP($N17,Settings[Role],Settings[f(TNC)]))/1000)
*XLOOKUP($N17,Settings[Role],Settings[f(SPD)]))/1000)
*XLOOKUP($N17,Settings[Role],Settings[f(WD)]))/100)
*XLOOKUP($N17,Settings[Role],Settings[Trait]))/100)</f>
        <v>0</v>
      </c>
      <c r="S17" s="31">
        <f t="shared" si="1"/>
        <v>0</v>
      </c>
      <c r="T17" s="31">
        <f t="array" ref="T17">int(int(int($L17*XLOOKUP($N17,Settings[Role],Settings[f(HMP)])*XLOOKUP($N17,Settings[Role],Settings[f(DET)]))/100)/1000)</f>
        <v>0</v>
      </c>
      <c r="U17" s="31">
        <f t="array" ref="U17">int(int(int(int(int(int($T17*XLOOKUP($N17,Settings[Role],Settings[f(TNC)]))/1000)*XLOOKUP($N17,Settings[Role],Settings[f(WD)]))/100)*XLOOKUP($N17,Settings[Role],Settings[Trait]))/100)</f>
        <v>0</v>
      </c>
      <c r="V17" s="31"/>
      <c r="W17" s="31">
        <f t="array" ref="W17">int(if($V17&lt;&gt;"",XLOOKUP($N17,Settings[Role],Settings[HP])*$V17,""))</f>
        <v>0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</row>
    <row r="18" ht="22.5" customHeight="1">
      <c r="A18" s="31" t="s">
        <v>1118</v>
      </c>
      <c r="B18" s="32" t="str">
        <f>IMAGE("https://lds-img.finalfantasyxiv.com/d/065d9df35159a3bc53d59984a18b35581b442a73.png")</f>
        <v/>
      </c>
      <c r="C18" s="31">
        <v>66.0</v>
      </c>
      <c r="D18" s="31" t="s">
        <v>1126</v>
      </c>
      <c r="E18" s="31">
        <v>30.0</v>
      </c>
      <c r="F18" s="31">
        <v>2.0</v>
      </c>
      <c r="G18" s="31"/>
      <c r="H18" s="31"/>
      <c r="I18" s="31"/>
      <c r="J18" s="31"/>
      <c r="K18" s="31"/>
      <c r="L18" s="31">
        <v>500.0</v>
      </c>
      <c r="M18" s="31">
        <v>15.0</v>
      </c>
      <c r="N18" s="31" t="s">
        <v>1120</v>
      </c>
      <c r="O18" s="31">
        <f t="array" ref="O18">int(int(int($J18*XLOOKUP($N18,Settings[Role],Settings[f(HMP)])*XLOOKUP($N18,Settings[Role],Settings[f(DET)]))/100)/1000)</f>
        <v>0</v>
      </c>
      <c r="P18" s="31">
        <f t="array" ref="P18">int(int(int(int(int(int($O18*XLOOKUP($N18,Settings[Role],Settings[f(TNC)]))/1000)*XLOOKUP($N18,Settings[Role],Settings[f(WD)]))/100)*XLOOKUP($N18,Settings[Role],Settings[Trait]))/100)</f>
        <v>0</v>
      </c>
      <c r="Q18" s="31">
        <f t="array" ref="Q18">int(int(int($K18*XLOOKUP($N18,Settings[Role],Settings[f(HMP)])*XLOOKUP($N18,Settings[Role],Settings[f(DET)]))/100)/1000)</f>
        <v>0</v>
      </c>
      <c r="R18" s="31">
        <f t="array" ref="R18">int(int(int(int(int(int(int(int($Q18*XLOOKUP($N18,Settings[Role],Settings[f(TNC)]))/1000)
*XLOOKUP($N18,Settings[Role],Settings[f(SPD)]))/1000)
*XLOOKUP($N18,Settings[Role],Settings[f(WD)]))/100)
*XLOOKUP($N18,Settings[Role],Settings[Trait]))/100)</f>
        <v>0</v>
      </c>
      <c r="S18" s="31">
        <f t="shared" si="1"/>
        <v>0</v>
      </c>
      <c r="T18" s="31">
        <f t="array" ref="T18">int(int(int($L18*XLOOKUP($N18,Settings[Role],Settings[f(HMP)])*XLOOKUP($N18,Settings[Role],Settings[f(DET)]))/100)/1000)</f>
        <v>13018</v>
      </c>
      <c r="U18" s="31">
        <f t="array" ref="U18">int(int(int(int(int(int($T18*XLOOKUP($N18,Settings[Role],Settings[f(TNC)]))/1000)*XLOOKUP($N18,Settings[Role],Settings[f(WD)]))/100)*XLOOKUP($N18,Settings[Role],Settings[Trait]))/100)</f>
        <v>34522</v>
      </c>
      <c r="V18" s="31"/>
      <c r="W18" s="31">
        <f t="array" ref="W18">int(if($V18&lt;&gt;"",XLOOKUP($N18,Settings[Role],Settings[HP])*$V18,""))</f>
        <v>0</v>
      </c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</row>
    <row r="19" ht="22.5" customHeight="1">
      <c r="A19" s="31" t="s">
        <v>1118</v>
      </c>
      <c r="B19" s="32" t="str">
        <f>IMAGE("https://lds-img.finalfantasyxiv.com/d/2144617daa9bac9ea7bc1f063a9e0cd033fcd363.png")</f>
        <v/>
      </c>
      <c r="C19" s="31">
        <v>70.0</v>
      </c>
      <c r="D19" s="31" t="s">
        <v>1123</v>
      </c>
      <c r="E19" s="31">
        <v>60.0</v>
      </c>
      <c r="F19" s="31"/>
      <c r="G19" s="31">
        <v>0.9</v>
      </c>
      <c r="H19" s="31">
        <v>10.0</v>
      </c>
      <c r="I19" s="31"/>
      <c r="J19" s="31">
        <v>200.0</v>
      </c>
      <c r="K19" s="31"/>
      <c r="L19" s="32"/>
      <c r="M19" s="31"/>
      <c r="N19" s="31" t="s">
        <v>1120</v>
      </c>
      <c r="O19" s="31">
        <f t="array" ref="O19">int(int(int($J19*XLOOKUP($N19,Settings[Role],Settings[f(HMP)])*XLOOKUP($N19,Settings[Role],Settings[f(DET)]))/100)/1000)</f>
        <v>5207</v>
      </c>
      <c r="P19" s="31">
        <f t="array" ref="P19">int(int(int(int(int(int($O19*XLOOKUP($N19,Settings[Role],Settings[f(TNC)]))/1000)*XLOOKUP($N19,Settings[Role],Settings[f(WD)]))/100)*XLOOKUP($N19,Settings[Role],Settings[Trait]))/100)</f>
        <v>13808</v>
      </c>
      <c r="Q19" s="31">
        <f t="array" ref="Q19">int(int(int($K19*XLOOKUP($N19,Settings[Role],Settings[f(HMP)])*XLOOKUP($N19,Settings[Role],Settings[f(DET)]))/100)/1000)</f>
        <v>0</v>
      </c>
      <c r="R19" s="31">
        <f t="array" ref="R19">int(int(int(int(int(int(int(int($Q19*XLOOKUP($N19,Settings[Role],Settings[f(TNC)]))/1000)
*XLOOKUP($N19,Settings[Role],Settings[f(SPD)]))/1000)
*XLOOKUP($N19,Settings[Role],Settings[f(WD)]))/100)
*XLOOKUP($N19,Settings[Role],Settings[Trait]))/100)</f>
        <v>0</v>
      </c>
      <c r="S19" s="31">
        <f t="shared" si="1"/>
        <v>0</v>
      </c>
      <c r="T19" s="31">
        <f t="array" ref="T19">int(int(int($L19*XLOOKUP($N19,Settings[Role],Settings[f(HMP)])*XLOOKUP($N19,Settings[Role],Settings[f(DET)]))/100)/1000)</f>
        <v>0</v>
      </c>
      <c r="U19" s="31">
        <f t="array" ref="U19">int(int(int(int(int(int($T19*XLOOKUP($N19,Settings[Role],Settings[f(TNC)]))/1000)*XLOOKUP($N19,Settings[Role],Settings[f(WD)]))/100)*XLOOKUP($N19,Settings[Role],Settings[Trait]))/100)</f>
        <v>0</v>
      </c>
      <c r="V19" s="31"/>
      <c r="W19" s="31">
        <f t="array" ref="W19">int(if($V19&lt;&gt;"",XLOOKUP($N19,Settings[Role],Settings[HP])*$V19,""))</f>
        <v>0</v>
      </c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</row>
    <row r="20" ht="22.5" customHeight="1">
      <c r="A20" s="31" t="s">
        <v>1118</v>
      </c>
      <c r="B20" s="32" t="str">
        <f>IMAGE("https://lds-img.finalfantasyxiv.com/d/9582c5aa6ffa9abf82db6140916020235a003a20.png")</f>
        <v/>
      </c>
      <c r="C20" s="31">
        <v>76.0</v>
      </c>
      <c r="D20" s="31" t="s">
        <v>1127</v>
      </c>
      <c r="E20" s="31">
        <v>2.5</v>
      </c>
      <c r="F20" s="31"/>
      <c r="G20" s="31"/>
      <c r="H20" s="31"/>
      <c r="I20" s="31"/>
      <c r="J20" s="31">
        <v>400.0</v>
      </c>
      <c r="K20" s="31"/>
      <c r="L20" s="32"/>
      <c r="M20" s="31"/>
      <c r="N20" s="31" t="s">
        <v>1120</v>
      </c>
      <c r="O20" s="31">
        <f t="array" ref="O20">int(int(int($J20*XLOOKUP($N20,Settings[Role],Settings[f(HMP)])*XLOOKUP($N20,Settings[Role],Settings[f(DET)]))/100)/1000)</f>
        <v>10414</v>
      </c>
      <c r="P20" s="31">
        <f t="array" ref="P20">int(int(int(int(int(int($O20*XLOOKUP($N20,Settings[Role],Settings[f(TNC)]))/1000)*XLOOKUP($N20,Settings[Role],Settings[f(WD)]))/100)*XLOOKUP($N20,Settings[Role],Settings[Trait]))/100)</f>
        <v>27617</v>
      </c>
      <c r="Q20" s="31">
        <f t="array" ref="Q20">int(int(int($K20*XLOOKUP($N20,Settings[Role],Settings[f(HMP)])*XLOOKUP($N20,Settings[Role],Settings[f(DET)]))/100)/1000)</f>
        <v>0</v>
      </c>
      <c r="R20" s="31">
        <f t="array" ref="R20">int(int(int(int(int(int(int(int($Q20*XLOOKUP($N20,Settings[Role],Settings[f(TNC)]))/1000)
*XLOOKUP($N20,Settings[Role],Settings[f(SPD)]))/1000)
*XLOOKUP($N20,Settings[Role],Settings[f(WD)]))/100)
*XLOOKUP($N20,Settings[Role],Settings[Trait]))/100)</f>
        <v>0</v>
      </c>
      <c r="S20" s="31">
        <f t="shared" si="1"/>
        <v>0</v>
      </c>
      <c r="T20" s="31">
        <f t="array" ref="T20">int(int(int($L20*XLOOKUP($N20,Settings[Role],Settings[f(HMP)])*XLOOKUP($N20,Settings[Role],Settings[f(DET)]))/100)/1000)</f>
        <v>0</v>
      </c>
      <c r="U20" s="31">
        <f t="array" ref="U20">int(int(int(int(int(int($T20*XLOOKUP($N20,Settings[Role],Settings[f(TNC)]))/1000)*XLOOKUP($N20,Settings[Role],Settings[f(WD)]))/100)*XLOOKUP($N20,Settings[Role],Settings[Trait]))/100)</f>
        <v>0</v>
      </c>
      <c r="V20" s="31"/>
      <c r="W20" s="31">
        <f t="array" ref="W20">int(if($V20&lt;&gt;"",XLOOKUP($N20,Settings[Role],Settings[HP])*$V20,""))</f>
        <v>0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</row>
    <row r="21" ht="22.5" customHeight="1">
      <c r="A21" s="31" t="s">
        <v>1118</v>
      </c>
      <c r="B21" s="32" t="str">
        <f>IMAGE("https://lds-img.finalfantasyxiv.com/d/78e099cba536b64fe978d05487c51b28a66f29df.png")</f>
        <v/>
      </c>
      <c r="C21" s="31">
        <v>80.0</v>
      </c>
      <c r="D21" s="31" t="s">
        <v>1128</v>
      </c>
      <c r="E21" s="31">
        <v>120.0</v>
      </c>
      <c r="F21" s="31"/>
      <c r="G21" s="31">
        <v>0.9</v>
      </c>
      <c r="H21" s="31">
        <v>20.0</v>
      </c>
      <c r="I21" s="31"/>
      <c r="J21" s="31"/>
      <c r="K21" s="31"/>
      <c r="L21" s="32"/>
      <c r="M21" s="31"/>
      <c r="N21" s="31" t="s">
        <v>1120</v>
      </c>
      <c r="O21" s="31">
        <f t="array" ref="O21">int(int(int($J21*XLOOKUP($N21,Settings[Role],Settings[f(HMP)])*XLOOKUP($N21,Settings[Role],Settings[f(DET)]))/100)/1000)</f>
        <v>0</v>
      </c>
      <c r="P21" s="31">
        <f t="array" ref="P21">int(int(int(int(int(int($O21*XLOOKUP($N21,Settings[Role],Settings[f(TNC)]))/1000)*XLOOKUP($N21,Settings[Role],Settings[f(WD)]))/100)*XLOOKUP($N21,Settings[Role],Settings[Trait]))/100)</f>
        <v>0</v>
      </c>
      <c r="Q21" s="31">
        <f t="array" ref="Q21">int(int(int($K21*XLOOKUP($N21,Settings[Role],Settings[f(HMP)])*XLOOKUP($N21,Settings[Role],Settings[f(DET)]))/100)/1000)</f>
        <v>0</v>
      </c>
      <c r="R21" s="31">
        <f t="array" ref="R21">int(int(int(int(int(int(int(int($Q21*XLOOKUP($N21,Settings[Role],Settings[f(TNC)]))/1000)
*XLOOKUP($N21,Settings[Role],Settings[f(SPD)]))/1000)
*XLOOKUP($N21,Settings[Role],Settings[f(WD)]))/100)
*XLOOKUP($N21,Settings[Role],Settings[Trait]))/100)</f>
        <v>0</v>
      </c>
      <c r="S21" s="31">
        <f t="shared" si="1"/>
        <v>0</v>
      </c>
      <c r="T21" s="31">
        <f t="array" ref="T21">int(int(int($L21*XLOOKUP($N21,Settings[Role],Settings[f(HMP)])*XLOOKUP($N21,Settings[Role],Settings[f(DET)]))/100)/1000)</f>
        <v>0</v>
      </c>
      <c r="U21" s="31">
        <f t="array" ref="U21">int(int(int(int(int(int($T21*XLOOKUP($N21,Settings[Role],Settings[f(TNC)]))/1000)*XLOOKUP($N21,Settings[Role],Settings[f(WD)]))/100)*XLOOKUP($N21,Settings[Role],Settings[Trait]))/100)</f>
        <v>0</v>
      </c>
      <c r="V21" s="31"/>
      <c r="W21" s="31">
        <f t="array" ref="W21">int(if($V21&lt;&gt;"",XLOOKUP($N21,Settings[Role],Settings[HP])*$V21,""))</f>
        <v>0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</row>
    <row r="22" ht="22.5" customHeight="1">
      <c r="A22" s="31" t="s">
        <v>1118</v>
      </c>
      <c r="B22" s="32" t="str">
        <f t="shared" ref="B22:B24" si="2">IMAGE("https://lds-img.finalfantasyxiv.com/d/4d31a93f520e700ac70ab1604bdb6811f124ebb4.png")</f>
        <v/>
      </c>
      <c r="C22" s="31">
        <v>90.0</v>
      </c>
      <c r="D22" s="31" t="s">
        <v>1129</v>
      </c>
      <c r="E22" s="31">
        <v>180.0</v>
      </c>
      <c r="F22" s="31">
        <v>5.0</v>
      </c>
      <c r="G22" s="31"/>
      <c r="H22" s="31">
        <v>20.0</v>
      </c>
      <c r="I22" s="31"/>
      <c r="J22" s="31"/>
      <c r="K22" s="31"/>
      <c r="L22" s="32"/>
      <c r="M22" s="31"/>
      <c r="N22" s="31" t="s">
        <v>1120</v>
      </c>
      <c r="O22" s="31">
        <f t="array" ref="O22">int(int(int($J22*XLOOKUP($N22,Settings[Role],Settings[f(HMP)])*XLOOKUP($N22,Settings[Role],Settings[f(DET)]))/100)/1000)</f>
        <v>0</v>
      </c>
      <c r="P22" s="31">
        <f t="array" ref="P22">int(int(int(int(int(int($O22*XLOOKUP($N22,Settings[Role],Settings[f(TNC)]))/1000)*XLOOKUP($N22,Settings[Role],Settings[f(WD)]))/100)*XLOOKUP($N22,Settings[Role],Settings[Trait]))/100)</f>
        <v>0</v>
      </c>
      <c r="Q22" s="31">
        <f t="array" ref="Q22">int(int(int($K22*XLOOKUP($N22,Settings[Role],Settings[f(HMP)])*XLOOKUP($N22,Settings[Role],Settings[f(DET)]))/100)/1000)</f>
        <v>0</v>
      </c>
      <c r="R22" s="31">
        <f t="array" ref="R22">int(int(int(int(int(int(int(int($Q22*XLOOKUP($N22,Settings[Role],Settings[f(TNC)]))/1000)
*XLOOKUP($N22,Settings[Role],Settings[f(SPD)]))/1000)
*XLOOKUP($N22,Settings[Role],Settings[f(WD)]))/100)
*XLOOKUP($N22,Settings[Role],Settings[Trait]))/100)</f>
        <v>0</v>
      </c>
      <c r="S22" s="31">
        <f t="shared" si="1"/>
        <v>0</v>
      </c>
      <c r="T22" s="31">
        <f t="array" ref="T22">int(int(int($L22*XLOOKUP($N22,Settings[Role],Settings[f(HMP)])*XLOOKUP($N22,Settings[Role],Settings[f(DET)]))/100)/1000)</f>
        <v>0</v>
      </c>
      <c r="U22" s="31">
        <f t="array" ref="U22">int(int(int(int(int(int($T22*XLOOKUP($N22,Settings[Role],Settings[f(TNC)]))/1000)*XLOOKUP($N22,Settings[Role],Settings[f(WD)]))/100)*XLOOKUP($N22,Settings[Role],Settings[Trait]))/100)</f>
        <v>0</v>
      </c>
      <c r="V22" s="31"/>
      <c r="W22" s="31">
        <f t="array" ref="W22">int(if($V22&lt;&gt;"",XLOOKUP($N22,Settings[Role],Settings[HP])*$V22,""))</f>
        <v>0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</row>
    <row r="23" ht="22.5" customHeight="1">
      <c r="A23" s="31" t="s">
        <v>1118</v>
      </c>
      <c r="B23" s="32" t="str">
        <f t="shared" si="2"/>
        <v/>
      </c>
      <c r="C23" s="31">
        <v>90.0</v>
      </c>
      <c r="D23" s="31" t="s">
        <v>1130</v>
      </c>
      <c r="E23" s="31">
        <v>180.0</v>
      </c>
      <c r="F23" s="31">
        <v>5.0</v>
      </c>
      <c r="G23" s="31"/>
      <c r="H23" s="31">
        <v>20.0</v>
      </c>
      <c r="I23" s="31"/>
      <c r="J23" s="31">
        <v>400.0</v>
      </c>
      <c r="K23" s="31"/>
      <c r="L23" s="32"/>
      <c r="M23" s="31"/>
      <c r="N23" s="31" t="s">
        <v>1120</v>
      </c>
      <c r="O23" s="31">
        <f t="array" ref="O23">int(int(int($J23*XLOOKUP($N23,Settings[Role],Settings[f(HMP)])*XLOOKUP($N23,Settings[Role],Settings[f(DET)]))/100)/1000)</f>
        <v>10414</v>
      </c>
      <c r="P23" s="31">
        <f t="array" ref="P23">int(int(int(int(int(int($O23*XLOOKUP($N23,Settings[Role],Settings[f(TNC)]))/1000)*XLOOKUP($N23,Settings[Role],Settings[f(WD)]))/100)*XLOOKUP($N23,Settings[Role],Settings[Trait]))/100)</f>
        <v>27617</v>
      </c>
      <c r="Q23" s="31">
        <f t="array" ref="Q23">int(int(int($K23*XLOOKUP($N23,Settings[Role],Settings[f(HMP)])*XLOOKUP($N23,Settings[Role],Settings[f(DET)]))/100)/1000)</f>
        <v>0</v>
      </c>
      <c r="R23" s="31">
        <f t="array" ref="R23">int(int(int(int(int(int(int(int($Q23*XLOOKUP($N23,Settings[Role],Settings[f(TNC)]))/1000)
*XLOOKUP($N23,Settings[Role],Settings[f(SPD)]))/1000)
*XLOOKUP($N23,Settings[Role],Settings[f(WD)]))/100)
*XLOOKUP($N23,Settings[Role],Settings[Trait]))/100)</f>
        <v>0</v>
      </c>
      <c r="S23" s="31">
        <f t="shared" si="1"/>
        <v>0</v>
      </c>
      <c r="T23" s="31">
        <f t="array" ref="T23">int(int(int($L23*XLOOKUP($N23,Settings[Role],Settings[f(HMP)])*XLOOKUP($N23,Settings[Role],Settings[f(DET)]))/100)/1000)</f>
        <v>0</v>
      </c>
      <c r="U23" s="31">
        <f t="array" ref="U23">int(int(int(int(int(int($T23*XLOOKUP($N23,Settings[Role],Settings[f(TNC)]))/1000)*XLOOKUP($N23,Settings[Role],Settings[f(WD)]))/100)*XLOOKUP($N23,Settings[Role],Settings[Trait]))/100)</f>
        <v>0</v>
      </c>
      <c r="V23" s="31"/>
      <c r="W23" s="31">
        <f t="array" ref="W23">int(if($V23&lt;&gt;"",XLOOKUP($N23,Settings[Role],Settings[HP])*$V23,""))</f>
        <v>0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</row>
    <row r="24" ht="22.5" customHeight="1">
      <c r="A24" s="31" t="s">
        <v>1118</v>
      </c>
      <c r="B24" s="32" t="str">
        <f t="shared" si="2"/>
        <v/>
      </c>
      <c r="C24" s="31">
        <v>90.0</v>
      </c>
      <c r="D24" s="31" t="s">
        <v>1131</v>
      </c>
      <c r="E24" s="31">
        <v>180.0</v>
      </c>
      <c r="F24" s="31">
        <v>5.0</v>
      </c>
      <c r="G24" s="31"/>
      <c r="H24" s="31"/>
      <c r="I24" s="31"/>
      <c r="J24" s="31">
        <v>200.0</v>
      </c>
      <c r="K24" s="31"/>
      <c r="L24" s="32"/>
      <c r="M24" s="31"/>
      <c r="N24" s="31" t="s">
        <v>1120</v>
      </c>
      <c r="O24" s="31">
        <f t="array" ref="O24">int(int(int($J24*XLOOKUP($N24,Settings[Role],Settings[f(HMP)])*XLOOKUP($N24,Settings[Role],Settings[f(DET)]))/100)/1000)</f>
        <v>5207</v>
      </c>
      <c r="P24" s="31">
        <f t="array" ref="P24">int(int(int(int(int(int($O24*XLOOKUP($N24,Settings[Role],Settings[f(TNC)]))/1000)*XLOOKUP($N24,Settings[Role],Settings[f(WD)]))/100)*XLOOKUP($N24,Settings[Role],Settings[Trait]))/100)</f>
        <v>13808</v>
      </c>
      <c r="Q24" s="31">
        <f t="array" ref="Q24">int(int(int($K24*XLOOKUP($N24,Settings[Role],Settings[f(HMP)])*XLOOKUP($N24,Settings[Role],Settings[f(DET)]))/100)/1000)</f>
        <v>0</v>
      </c>
      <c r="R24" s="31">
        <f t="array" ref="R24">int(int(int(int(int(int(int(int($Q24*XLOOKUP($N24,Settings[Role],Settings[f(TNC)]))/1000)
*XLOOKUP($N24,Settings[Role],Settings[f(SPD)]))/1000)
*XLOOKUP($N24,Settings[Role],Settings[f(WD)]))/100)
*XLOOKUP($N24,Settings[Role],Settings[Trait]))/100)</f>
        <v>0</v>
      </c>
      <c r="S24" s="31">
        <f t="shared" si="1"/>
        <v>0</v>
      </c>
      <c r="T24" s="31">
        <f t="array" ref="T24">int(int(int($L24*XLOOKUP($N24,Settings[Role],Settings[f(HMP)])*XLOOKUP($N24,Settings[Role],Settings[f(DET)]))/100)/1000)</f>
        <v>0</v>
      </c>
      <c r="U24" s="31">
        <f t="array" ref="U24">int(int(int(int(int(int($T24*XLOOKUP($N24,Settings[Role],Settings[f(TNC)]))/1000)*XLOOKUP($N24,Settings[Role],Settings[f(WD)]))/100)*XLOOKUP($N24,Settings[Role],Settings[Trait]))/100)</f>
        <v>0</v>
      </c>
      <c r="V24" s="31"/>
      <c r="W24" s="31">
        <f t="array" ref="W24">int(if($V24&lt;&gt;"",XLOOKUP($N24,Settings[Role],Settings[HP])*$V24,""))</f>
        <v>0</v>
      </c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</row>
    <row r="25" ht="22.5" customHeight="1">
      <c r="A25" s="31" t="s">
        <v>1118</v>
      </c>
      <c r="B25" s="32" t="str">
        <f>IMAGE("https://lds-img.finalfantasyxiv.com/d/afd378388b20cba91d3988c04efeff1256eae7b3.png")</f>
        <v/>
      </c>
      <c r="C25" s="31">
        <v>96.0</v>
      </c>
      <c r="D25" s="31" t="s">
        <v>1132</v>
      </c>
      <c r="E25" s="31">
        <v>2.5</v>
      </c>
      <c r="F25" s="31"/>
      <c r="G25" s="31"/>
      <c r="H25" s="31">
        <v>15.0</v>
      </c>
      <c r="I25" s="31"/>
      <c r="J25" s="31">
        <v>250.0</v>
      </c>
      <c r="K25" s="31">
        <v>175.0</v>
      </c>
      <c r="L25" s="32"/>
      <c r="M25" s="31"/>
      <c r="N25" s="31" t="s">
        <v>1120</v>
      </c>
      <c r="O25" s="31">
        <f t="array" ref="O25">int(int(int($J25*XLOOKUP($N25,Settings[Role],Settings[f(HMP)])*XLOOKUP($N25,Settings[Role],Settings[f(DET)]))/100)/1000)</f>
        <v>6509</v>
      </c>
      <c r="P25" s="31">
        <f t="array" ref="P25">int(int(int(int(int(int($O25*XLOOKUP($N25,Settings[Role],Settings[f(TNC)]))/1000)*XLOOKUP($N25,Settings[Role],Settings[f(WD)]))/100)*XLOOKUP($N25,Settings[Role],Settings[Trait]))/100)</f>
        <v>17261</v>
      </c>
      <c r="Q25" s="31">
        <f t="array" ref="Q25">int(int(int($K25*XLOOKUP($N25,Settings[Role],Settings[f(HMP)])*XLOOKUP($N25,Settings[Role],Settings[f(DET)]))/100)/1000)</f>
        <v>4556</v>
      </c>
      <c r="R25" s="31">
        <f t="array" ref="R25">int(int(int(int(int(int(int(int($Q25*XLOOKUP($N25,Settings[Role],Settings[f(TNC)]))/1000)
*XLOOKUP($N25,Settings[Role],Settings[f(SPD)]))/1000)
*XLOOKUP($N25,Settings[Role],Settings[f(WD)]))/100)
*XLOOKUP($N25,Settings[Role],Settings[Trait]))/100)</f>
        <v>12526</v>
      </c>
      <c r="S25" s="31">
        <f t="shared" si="1"/>
        <v>62630</v>
      </c>
      <c r="T25" s="31">
        <f t="array" ref="T25">int(int(int($L25*XLOOKUP($N25,Settings[Role],Settings[f(HMP)])*XLOOKUP($N25,Settings[Role],Settings[f(DET)]))/100)/1000)</f>
        <v>0</v>
      </c>
      <c r="U25" s="31">
        <f t="array" ref="U25">int(int(int(int(int(int($T25*XLOOKUP($N25,Settings[Role],Settings[f(TNC)]))/1000)*XLOOKUP($N25,Settings[Role],Settings[f(WD)]))/100)*XLOOKUP($N25,Settings[Role],Settings[Trait]))/100)</f>
        <v>0</v>
      </c>
      <c r="V25" s="31"/>
      <c r="W25" s="31">
        <f t="array" ref="W25">int(if($V25&lt;&gt;"",XLOOKUP($N25,Settings[Role],Settings[HP])*$V25,""))</f>
        <v>0</v>
      </c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</row>
    <row r="26" ht="22.5" customHeight="1">
      <c r="A26" s="31" t="s">
        <v>1118</v>
      </c>
      <c r="B26" s="32" t="str">
        <f>IMAGE("https://lds-img.finalfantasyxiv.com/d/94e9cc4b561ab6fca2c4a92cdbb2c86cd7825df9.png")</f>
        <v/>
      </c>
      <c r="C26" s="31">
        <v>100.0</v>
      </c>
      <c r="D26" s="31" t="s">
        <v>1082</v>
      </c>
      <c r="E26" s="31">
        <v>120.0</v>
      </c>
      <c r="F26" s="31"/>
      <c r="G26" s="31"/>
      <c r="H26" s="31">
        <v>15.0</v>
      </c>
      <c r="I26" s="31"/>
      <c r="J26" s="31"/>
      <c r="K26" s="31">
        <v>200.0</v>
      </c>
      <c r="L26" s="31">
        <v>400.0</v>
      </c>
      <c r="M26" s="31">
        <v>10.0</v>
      </c>
      <c r="N26" s="31" t="s">
        <v>1120</v>
      </c>
      <c r="O26" s="31">
        <f t="array" ref="O26">int(int(int($J26*XLOOKUP($N26,Settings[Role],Settings[f(HMP)])*XLOOKUP($N26,Settings[Role],Settings[f(DET)]))/100)/1000)</f>
        <v>0</v>
      </c>
      <c r="P26" s="31">
        <f t="array" ref="P26">int(int(int(int(int(int($O26*XLOOKUP($N26,Settings[Role],Settings[f(TNC)]))/1000)*XLOOKUP($N26,Settings[Role],Settings[f(WD)]))/100)*XLOOKUP($N26,Settings[Role],Settings[Trait]))/100)</f>
        <v>0</v>
      </c>
      <c r="Q26" s="31">
        <f t="array" ref="Q26">int(int(int($K26*XLOOKUP($N26,Settings[Role],Settings[f(HMP)])*XLOOKUP($N26,Settings[Role],Settings[f(DET)]))/100)/1000)</f>
        <v>5207</v>
      </c>
      <c r="R26" s="31">
        <f t="array" ref="R26">int(int(int(int(int(int(int(int($Q26*XLOOKUP($N26,Settings[Role],Settings[f(TNC)]))/1000)
*XLOOKUP($N26,Settings[Role],Settings[f(SPD)]))/1000)
*XLOOKUP($N26,Settings[Role],Settings[f(WD)]))/100)
*XLOOKUP($N26,Settings[Role],Settings[Trait]))/100)</f>
        <v>14316</v>
      </c>
      <c r="S26" s="31">
        <f t="shared" si="1"/>
        <v>71580</v>
      </c>
      <c r="T26" s="31">
        <f t="array" ref="T26">int(int(int($L26*XLOOKUP($N26,Settings[Role],Settings[f(HMP)])*XLOOKUP($N26,Settings[Role],Settings[f(DET)]))/100)/1000)</f>
        <v>10414</v>
      </c>
      <c r="U26" s="31">
        <f t="array" ref="U26">int(int(int(int(int(int($T26*XLOOKUP($N26,Settings[Role],Settings[f(TNC)]))/1000)*XLOOKUP($N26,Settings[Role],Settings[f(WD)]))/100)*XLOOKUP($N26,Settings[Role],Settings[Trait]))/100)</f>
        <v>27617</v>
      </c>
      <c r="V26" s="31"/>
      <c r="W26" s="31">
        <f t="array" ref="W26">int(if($V26&lt;&gt;"",XLOOKUP($N26,Settings[Role],Settings[HP])*$V26,""))</f>
        <v>0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</row>
    <row r="27" ht="22.5" customHeight="1">
      <c r="A27" s="31" t="s">
        <v>1133</v>
      </c>
      <c r="B27" s="32" t="str">
        <f>IMAGE("https://lds-img.finalfantasyxiv.com/d/161dc95f27e69fb5bd4caecfdeab022e3560193d.png")</f>
        <v/>
      </c>
      <c r="C27" s="31">
        <v>20.0</v>
      </c>
      <c r="D27" s="31" t="s">
        <v>1134</v>
      </c>
      <c r="E27" s="31">
        <v>60.0</v>
      </c>
      <c r="F27" s="31"/>
      <c r="G27" s="31"/>
      <c r="H27" s="31">
        <v>21.0</v>
      </c>
      <c r="I27" s="31"/>
      <c r="J27" s="31"/>
      <c r="K27" s="31">
        <v>76.0</v>
      </c>
      <c r="L27" s="31"/>
      <c r="M27" s="31"/>
      <c r="N27" s="31" t="s">
        <v>1120</v>
      </c>
      <c r="O27" s="31">
        <f t="array" ref="O27">int(int(int($J27*XLOOKUP($N27,Settings[Role],Settings[f(HMP)])*XLOOKUP($N27,Settings[Role],Settings[f(DET)]))/100)/1000)</f>
        <v>0</v>
      </c>
      <c r="P27" s="31">
        <f t="array" ref="P27">int(int(int(int(int(int($O27*XLOOKUP($N27,Settings[Role],Settings[f(TNC)]))/1000)*XLOOKUP($N27,Settings[Role],Settings[f(WD)]))/100)*XLOOKUP($N27,Settings[Role],Settings[Trait]))/100)</f>
        <v>0</v>
      </c>
      <c r="Q27" s="31">
        <f t="array" ref="Q27">int(int(int($K27*XLOOKUP($N27,Settings[Role],Settings[f(HMP)])*XLOOKUP($N27,Settings[Role],Settings[f(DET)]))/100)/1000)</f>
        <v>1978</v>
      </c>
      <c r="R27" s="31">
        <f t="array" ref="R27">int(int(int(int(int(int(int(int($Q27*XLOOKUP($N27,Settings[Role],Settings[f(TNC)]))/1000)
*XLOOKUP($N27,Settings[Role],Settings[f(SPD)]))/1000)
*XLOOKUP($N27,Settings[Role],Settings[f(WD)]))/100)
*XLOOKUP($N27,Settings[Role],Settings[Trait]))/100)</f>
        <v>5439</v>
      </c>
      <c r="S27" s="31">
        <f t="shared" si="1"/>
        <v>38073</v>
      </c>
      <c r="T27" s="31">
        <f t="array" ref="T27">int(int(int($L27*XLOOKUP($N27,Settings[Role],Settings[f(HMP)])*XLOOKUP($N27,Settings[Role],Settings[f(DET)]))/100)/1000)</f>
        <v>0</v>
      </c>
      <c r="U27" s="31">
        <f t="array" ref="U27">int(int(int(int(int(int($T27*XLOOKUP($N27,Settings[Role],Settings[f(TNC)]))/1000)*XLOOKUP($N27,Settings[Role],Settings[f(WD)]))/100)*XLOOKUP($N27,Settings[Role],Settings[Trait]))/100)</f>
        <v>0</v>
      </c>
      <c r="V27" s="31"/>
      <c r="W27" s="31">
        <f t="array" ref="W27">int(if($V27&lt;&gt;"",XLOOKUP($N27,Settings[Role],Settings[HP])*$V27,""))</f>
        <v>0</v>
      </c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</row>
    <row r="28" ht="22.5" customHeight="1">
      <c r="A28" s="31" t="s">
        <v>1133</v>
      </c>
      <c r="B28" s="32" t="str">
        <f>IMAGE("https://lds-img.finalfantasyxiv.com/d/07beea4eb1cc3f24533d045db5b694c939f3a3ac.png")</f>
        <v/>
      </c>
      <c r="C28" s="31">
        <v>30.0</v>
      </c>
      <c r="D28" s="31" t="s">
        <v>1135</v>
      </c>
      <c r="E28" s="31">
        <v>2.5</v>
      </c>
      <c r="F28" s="31"/>
      <c r="G28" s="31"/>
      <c r="H28" s="31"/>
      <c r="I28" s="31"/>
      <c r="J28" s="31">
        <v>300.0</v>
      </c>
      <c r="K28" s="31"/>
      <c r="L28" s="31">
        <f>J28*1.8</f>
        <v>540</v>
      </c>
      <c r="M28" s="31">
        <v>30.0</v>
      </c>
      <c r="N28" s="31" t="s">
        <v>1120</v>
      </c>
      <c r="O28" s="31">
        <f t="array" ref="O28">int(int(int($J28*XLOOKUP($N28,Settings[Role],Settings[f(HMP)])*XLOOKUP($N28,Settings[Role],Settings[f(DET)]))/100)/1000)</f>
        <v>7811</v>
      </c>
      <c r="P28" s="31">
        <f t="array" ref="P28">int(int(int(int(int(int($O28*XLOOKUP($N28,Settings[Role],Settings[f(TNC)]))/1000)*XLOOKUP($N28,Settings[Role],Settings[f(WD)]))/100)*XLOOKUP($N28,Settings[Role],Settings[Trait]))/100)</f>
        <v>20714</v>
      </c>
      <c r="Q28" s="31">
        <f t="array" ref="Q28">int(int(int($K28*XLOOKUP($N28,Settings[Role],Settings[f(HMP)])*XLOOKUP($N28,Settings[Role],Settings[f(DET)]))/100)/1000)</f>
        <v>0</v>
      </c>
      <c r="R28" s="31">
        <f t="array" ref="R28">int(int(int(int(int(int(int(int($Q28*XLOOKUP($N28,Settings[Role],Settings[f(TNC)]))/1000)
*XLOOKUP($N28,Settings[Role],Settings[f(SPD)]))/1000)
*XLOOKUP($N28,Settings[Role],Settings[f(WD)]))/100)
*XLOOKUP($N28,Settings[Role],Settings[Trait]))/100)</f>
        <v>0</v>
      </c>
      <c r="S28" s="31">
        <f t="shared" si="1"/>
        <v>0</v>
      </c>
      <c r="T28" s="31">
        <f t="array" ref="T28">int(int(int($L28*XLOOKUP($N28,Settings[Role],Settings[f(HMP)])*XLOOKUP($N28,Settings[Role],Settings[f(DET)]))/100)/1000)</f>
        <v>14060</v>
      </c>
      <c r="U28" s="31">
        <f t="array" ref="U28">int(int(int(int(int(int($T28*XLOOKUP($N28,Settings[Role],Settings[f(TNC)]))/1000)*XLOOKUP($N28,Settings[Role],Settings[f(WD)]))/100)*XLOOKUP($N28,Settings[Role],Settings[Trait]))/100)</f>
        <v>37286</v>
      </c>
      <c r="V28" s="31"/>
      <c r="W28" s="31">
        <f t="array" ref="W28">int(if($V28&lt;&gt;"",XLOOKUP($N28,Settings[Role],Settings[HP])*$V28,""))</f>
        <v>0</v>
      </c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</row>
    <row r="29" ht="22.5" customHeight="1">
      <c r="A29" s="31" t="s">
        <v>1133</v>
      </c>
      <c r="B29" s="32" t="str">
        <f>IMAGE("https://lds-img.finalfantasyxiv.com/d/6ed1ace8e31760fa3b042e6d27dac669668196b0.png")</f>
        <v/>
      </c>
      <c r="C29" s="31">
        <v>40.0</v>
      </c>
      <c r="D29" s="31" t="s">
        <v>1136</v>
      </c>
      <c r="E29" s="31">
        <v>120.0</v>
      </c>
      <c r="F29" s="31"/>
      <c r="G29" s="31">
        <v>0.95</v>
      </c>
      <c r="H29" s="31">
        <v>20.0</v>
      </c>
      <c r="I29" s="31">
        <v>1.1</v>
      </c>
      <c r="J29" s="31"/>
      <c r="K29" s="31"/>
      <c r="L29" s="31"/>
      <c r="M29" s="31"/>
      <c r="N29" s="31" t="s">
        <v>1120</v>
      </c>
      <c r="O29" s="31">
        <f t="array" ref="O29">int(int(int($J29*XLOOKUP($N29,Settings[Role],Settings[f(HMP)])*XLOOKUP($N29,Settings[Role],Settings[f(DET)]))/100)/1000)</f>
        <v>0</v>
      </c>
      <c r="P29" s="31">
        <f t="array" ref="P29">int(int(int(int(int(int($O29*XLOOKUP($N29,Settings[Role],Settings[f(TNC)]))/1000)*XLOOKUP($N29,Settings[Role],Settings[f(WD)]))/100)*XLOOKUP($N29,Settings[Role],Settings[Trait]))/100)</f>
        <v>0</v>
      </c>
      <c r="Q29" s="31">
        <f t="array" ref="Q29">int(int(int($K29*XLOOKUP($N29,Settings[Role],Settings[f(HMP)])*XLOOKUP($N29,Settings[Role],Settings[f(DET)]))/100)/1000)</f>
        <v>0</v>
      </c>
      <c r="R29" s="31">
        <f t="array" ref="R29">int(int(int(int(int(int(int(int($Q29*XLOOKUP($N29,Settings[Role],Settings[f(TNC)]))/1000)
*XLOOKUP($N29,Settings[Role],Settings[f(SPD)]))/1000)
*XLOOKUP($N29,Settings[Role],Settings[f(WD)]))/100)
*XLOOKUP($N29,Settings[Role],Settings[Trait]))/100)</f>
        <v>0</v>
      </c>
      <c r="S29" s="31">
        <f t="shared" si="1"/>
        <v>0</v>
      </c>
      <c r="T29" s="31">
        <f t="array" ref="T29">int(int(int($L29*XLOOKUP($N29,Settings[Role],Settings[f(HMP)])*XLOOKUP($N29,Settings[Role],Settings[f(DET)]))/100)/1000)</f>
        <v>0</v>
      </c>
      <c r="U29" s="31">
        <f t="array" ref="U29">int(int(int(int(int(int($T29*XLOOKUP($N29,Settings[Role],Settings[f(TNC)]))/1000)*XLOOKUP($N29,Settings[Role],Settings[f(WD)]))/100)*XLOOKUP($N29,Settings[Role],Settings[Trait]))/100)</f>
        <v>0</v>
      </c>
      <c r="V29" s="31"/>
      <c r="W29" s="31">
        <f t="array" ref="W29">int(if($V29&lt;&gt;"",XLOOKUP($N29,Settings[Role],Settings[HP])*$V29,""))</f>
        <v>0</v>
      </c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</row>
    <row r="30" ht="22.5" customHeight="1">
      <c r="A30" s="31" t="s">
        <v>1133</v>
      </c>
      <c r="B30" s="32" t="str">
        <f>IMAGE("https://lds-img.finalfantasyxiv.com/d/4c47bdf94dc6c3dcd9b303cfa42a08a5cfd13629.png")</f>
        <v/>
      </c>
      <c r="C30" s="31">
        <v>78.0</v>
      </c>
      <c r="D30" s="31" t="s">
        <v>1137</v>
      </c>
      <c r="E30" s="31">
        <v>30.0</v>
      </c>
      <c r="F30" s="31"/>
      <c r="G30" s="31">
        <v>0.9</v>
      </c>
      <c r="H30" s="31">
        <v>15.0</v>
      </c>
      <c r="I30" s="31"/>
      <c r="J30" s="31"/>
      <c r="K30" s="31">
        <v>100.0</v>
      </c>
      <c r="L30" s="31"/>
      <c r="M30" s="31"/>
      <c r="N30" s="31" t="s">
        <v>1120</v>
      </c>
      <c r="O30" s="31">
        <f t="array" ref="O30">int(int(int($J30*XLOOKUP($N30,Settings[Role],Settings[f(HMP)])*XLOOKUP($N30,Settings[Role],Settings[f(DET)]))/100)/1000)</f>
        <v>0</v>
      </c>
      <c r="P30" s="31">
        <f t="array" ref="P30">int(int(int(int(int(int($O30*XLOOKUP($N30,Settings[Role],Settings[f(TNC)]))/1000)*XLOOKUP($N30,Settings[Role],Settings[f(WD)]))/100)*XLOOKUP($N30,Settings[Role],Settings[Trait]))/100)</f>
        <v>0</v>
      </c>
      <c r="Q30" s="31">
        <f t="array" ref="Q30">int(int(int($K30*XLOOKUP($N30,Settings[Role],Settings[f(HMP)])*XLOOKUP($N30,Settings[Role],Settings[f(DET)]))/100)/1000)</f>
        <v>2603</v>
      </c>
      <c r="R30" s="31">
        <f t="array" ref="R30">int(int(int(int(int(int(int(int($Q30*XLOOKUP($N30,Settings[Role],Settings[f(TNC)]))/1000)
*XLOOKUP($N30,Settings[Role],Settings[f(SPD)]))/1000)
*XLOOKUP($N30,Settings[Role],Settings[f(WD)]))/100)
*XLOOKUP($N30,Settings[Role],Settings[Trait]))/100)</f>
        <v>7156</v>
      </c>
      <c r="S30" s="31">
        <f t="shared" si="1"/>
        <v>35780</v>
      </c>
      <c r="T30" s="31">
        <f t="array" ref="T30">int(int(int($L30*XLOOKUP($N30,Settings[Role],Settings[f(HMP)])*XLOOKUP($N30,Settings[Role],Settings[f(DET)]))/100)/1000)</f>
        <v>0</v>
      </c>
      <c r="U30" s="31">
        <f t="array" ref="U30">int(int(int(int(int(int($T30*XLOOKUP($N30,Settings[Role],Settings[f(TNC)]))/1000)*XLOOKUP($N30,Settings[Role],Settings[f(WD)]))/100)*XLOOKUP($N30,Settings[Role],Settings[Trait]))/100)</f>
        <v>0</v>
      </c>
      <c r="V30" s="31"/>
      <c r="W30" s="31">
        <f t="array" ref="W30">int(if($V30&lt;&gt;"",XLOOKUP($N30,Settings[Role],Settings[HP])*$V30,""))</f>
        <v>0</v>
      </c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</row>
    <row r="31" ht="22.5" customHeight="1">
      <c r="A31" s="31" t="s">
        <v>1133</v>
      </c>
      <c r="B31" s="32" t="str">
        <f>IMAGE("https://lds-img.finalfantasyxiv.com/d/7f80a5bd016eab7200c55dd8d1d6afb07361a0ca.png")</f>
        <v/>
      </c>
      <c r="C31" s="31">
        <v>52.0</v>
      </c>
      <c r="D31" s="31" t="s">
        <v>1138</v>
      </c>
      <c r="E31" s="31">
        <v>30.0</v>
      </c>
      <c r="F31" s="31"/>
      <c r="G31" s="31"/>
      <c r="H31" s="31"/>
      <c r="I31" s="31"/>
      <c r="J31" s="31">
        <v>400.0</v>
      </c>
      <c r="K31" s="31"/>
      <c r="L31" s="31"/>
      <c r="M31" s="31"/>
      <c r="N31" s="31" t="s">
        <v>1120</v>
      </c>
      <c r="O31" s="31">
        <f t="array" ref="O31">int(int(int($J31*XLOOKUP($N31,Settings[Role],Settings[f(HMP)])*XLOOKUP($N31,Settings[Role],Settings[f(DET)]))/100)/1000)</f>
        <v>10414</v>
      </c>
      <c r="P31" s="31">
        <f t="array" ref="P31">int(int(int(int(int(int($O31*XLOOKUP($N31,Settings[Role],Settings[f(TNC)]))/1000)*XLOOKUP($N31,Settings[Role],Settings[f(WD)]))/100)*XLOOKUP($N31,Settings[Role],Settings[Trait]))/100)</f>
        <v>27617</v>
      </c>
      <c r="Q31" s="31">
        <f t="array" ref="Q31">int(int(int($K31*XLOOKUP($N31,Settings[Role],Settings[f(HMP)])*XLOOKUP($N31,Settings[Role],Settings[f(DET)]))/100)/1000)</f>
        <v>0</v>
      </c>
      <c r="R31" s="31">
        <f t="array" ref="R31">int(int(int(int(int(int(int(int($Q31*XLOOKUP($N31,Settings[Role],Settings[f(TNC)]))/1000)
*XLOOKUP($N31,Settings[Role],Settings[f(SPD)]))/1000)
*XLOOKUP($N31,Settings[Role],Settings[f(WD)]))/100)
*XLOOKUP($N31,Settings[Role],Settings[Trait]))/100)</f>
        <v>0</v>
      </c>
      <c r="S31" s="31">
        <f t="shared" si="1"/>
        <v>0</v>
      </c>
      <c r="T31" s="31">
        <f t="array" ref="T31">int(int(int($L31*XLOOKUP($N31,Settings[Role],Settings[f(HMP)])*XLOOKUP($N31,Settings[Role],Settings[f(DET)]))/100)/1000)</f>
        <v>0</v>
      </c>
      <c r="U31" s="31">
        <f t="array" ref="U31">int(int(int(int(int(int($T31*XLOOKUP($N31,Settings[Role],Settings[f(TNC)]))/1000)*XLOOKUP($N31,Settings[Role],Settings[f(WD)]))/100)*XLOOKUP($N31,Settings[Role],Settings[Trait]))/100)</f>
        <v>0</v>
      </c>
      <c r="V31" s="31"/>
      <c r="W31" s="31">
        <f t="array" ref="W31">int(if($V31&lt;&gt;"",XLOOKUP($N31,Settings[Role],Settings[HP])*$V31,""))</f>
        <v>0</v>
      </c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</row>
    <row r="32" ht="22.5" customHeight="1">
      <c r="A32" s="31" t="s">
        <v>1133</v>
      </c>
      <c r="B32" s="32" t="str">
        <f>IMAGE("https://lds-img.finalfantasyxiv.com/d/b1be794db381c20399faf7dec80b7f64eaba2e61.png")</f>
        <v/>
      </c>
      <c r="C32" s="31">
        <v>98.0</v>
      </c>
      <c r="D32" s="31" t="s">
        <v>1139</v>
      </c>
      <c r="E32" s="31">
        <v>60.0</v>
      </c>
      <c r="F32" s="31"/>
      <c r="G32" s="31"/>
      <c r="H32" s="31"/>
      <c r="I32" s="31">
        <v>1.6</v>
      </c>
      <c r="J32" s="31"/>
      <c r="K32" s="31"/>
      <c r="L32" s="31"/>
      <c r="M32" s="31"/>
      <c r="N32" s="31" t="s">
        <v>1120</v>
      </c>
      <c r="O32" s="31">
        <f t="array" ref="O32">int(int(int($J32*XLOOKUP($N32,Settings[Role],Settings[f(HMP)])*XLOOKUP($N32,Settings[Role],Settings[f(DET)]))/100)/1000)</f>
        <v>0</v>
      </c>
      <c r="P32" s="31">
        <f t="array" ref="P32">int(int(int(int(int(int($O32*XLOOKUP($N32,Settings[Role],Settings[f(TNC)]))/1000)*XLOOKUP($N32,Settings[Role],Settings[f(WD)]))/100)*XLOOKUP($N32,Settings[Role],Settings[Trait]))/100)</f>
        <v>0</v>
      </c>
      <c r="Q32" s="31">
        <f t="array" ref="Q32">int(int(int($K32*XLOOKUP($N32,Settings[Role],Settings[f(HMP)])*XLOOKUP($N32,Settings[Role],Settings[f(DET)]))/100)/1000)</f>
        <v>0</v>
      </c>
      <c r="R32" s="31">
        <f t="array" ref="R32">int(int(int(int(int(int(int(int($Q32*XLOOKUP($N32,Settings[Role],Settings[f(TNC)]))/1000)
*XLOOKUP($N32,Settings[Role],Settings[f(SPD)]))/1000)
*XLOOKUP($N32,Settings[Role],Settings[f(WD)]))/100)
*XLOOKUP($N32,Settings[Role],Settings[Trait]))/100)</f>
        <v>0</v>
      </c>
      <c r="S32" s="31">
        <f t="shared" si="1"/>
        <v>0</v>
      </c>
      <c r="T32" s="31">
        <f t="array" ref="T32">int(int(int($L32*XLOOKUP($N32,Settings[Role],Settings[f(HMP)])*XLOOKUP($N32,Settings[Role],Settings[f(DET)]))/100)/1000)</f>
        <v>0</v>
      </c>
      <c r="U32" s="31">
        <f t="array" ref="U32">int(int(int(int(int(int($T32*XLOOKUP($N32,Settings[Role],Settings[f(TNC)]))/1000)*XLOOKUP($N32,Settings[Role],Settings[f(WD)]))/100)*XLOOKUP($N32,Settings[Role],Settings[Trait]))/100)</f>
        <v>0</v>
      </c>
      <c r="V32" s="31"/>
      <c r="W32" s="31">
        <f t="array" ref="W32">int(if($V32&lt;&gt;"",XLOOKUP($N32,Settings[Role],Settings[HP])*$V32,""))</f>
        <v>0</v>
      </c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</row>
    <row r="33" ht="22.5" customHeight="1">
      <c r="A33" s="31" t="s">
        <v>1133</v>
      </c>
      <c r="B33" s="32" t="str">
        <f>IMAGE("https://lds-img.finalfantasyxiv.com/d/e37b65935298898f61fd4b12a293998ba1258be5.png")</f>
        <v/>
      </c>
      <c r="C33" s="31">
        <v>76.0</v>
      </c>
      <c r="D33" s="31" t="s">
        <v>1140</v>
      </c>
      <c r="E33" s="31">
        <v>60.0</v>
      </c>
      <c r="F33" s="31"/>
      <c r="G33" s="31"/>
      <c r="H33" s="31"/>
      <c r="I33" s="31"/>
      <c r="J33" s="31">
        <v>304.0</v>
      </c>
      <c r="K33" s="31"/>
      <c r="L33" s="31"/>
      <c r="M33" s="31"/>
      <c r="N33" s="31" t="s">
        <v>1120</v>
      </c>
      <c r="O33" s="31">
        <f t="array" ref="O33">int(int(int($J33*XLOOKUP($N33,Settings[Role],Settings[f(HMP)])*XLOOKUP($N33,Settings[Role],Settings[f(DET)]))/100)/1000)</f>
        <v>7915</v>
      </c>
      <c r="P33" s="31">
        <f t="array" ref="P33">int(int(int(int(int(int($O33*XLOOKUP($N33,Settings[Role],Settings[f(TNC)]))/1000)*XLOOKUP($N33,Settings[Role],Settings[f(WD)]))/100)*XLOOKUP($N33,Settings[Role],Settings[Trait]))/100)</f>
        <v>20989</v>
      </c>
      <c r="Q33" s="31">
        <f t="array" ref="Q33">int(int(int($K33*XLOOKUP($N33,Settings[Role],Settings[f(HMP)])*XLOOKUP($N33,Settings[Role],Settings[f(DET)]))/100)/1000)</f>
        <v>0</v>
      </c>
      <c r="R33" s="31">
        <f t="array" ref="R33">int(int(int(int(int(int(int(int($Q33*XLOOKUP($N33,Settings[Role],Settings[f(TNC)]))/1000)
*XLOOKUP($N33,Settings[Role],Settings[f(SPD)]))/1000)
*XLOOKUP($N33,Settings[Role],Settings[f(WD)]))/100)
*XLOOKUP($N33,Settings[Role],Settings[Trait]))/100)</f>
        <v>0</v>
      </c>
      <c r="S33" s="31">
        <f t="shared" si="1"/>
        <v>0</v>
      </c>
      <c r="T33" s="31">
        <f t="array" ref="T33">int(int(int($L33*XLOOKUP($N33,Settings[Role],Settings[f(HMP)])*XLOOKUP($N33,Settings[Role],Settings[f(DET)]))/100)/1000)</f>
        <v>0</v>
      </c>
      <c r="U33" s="31">
        <f t="array" ref="U33">int(int(int(int(int(int($T33*XLOOKUP($N33,Settings[Role],Settings[f(TNC)]))/1000)*XLOOKUP($N33,Settings[Role],Settings[f(WD)]))/100)*XLOOKUP($N33,Settings[Role],Settings[Trait]))/100)</f>
        <v>0</v>
      </c>
      <c r="V33" s="31"/>
      <c r="W33" s="31">
        <f t="array" ref="W33">int(if($V33&lt;&gt;"",XLOOKUP($N33,Settings[Role],Settings[HP])*$V33,""))</f>
        <v>0</v>
      </c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</row>
    <row r="34" ht="22.5" customHeight="1">
      <c r="A34" s="31" t="s">
        <v>1133</v>
      </c>
      <c r="B34" s="32" t="str">
        <f>IMAGE("https://lds-img.finalfantasyxiv.com/d/ff070d67e4c75ed8bb06de1f577979e8c69c8ad1.png")</f>
        <v/>
      </c>
      <c r="C34" s="31">
        <v>80.0</v>
      </c>
      <c r="D34" s="31" t="s">
        <v>1141</v>
      </c>
      <c r="E34" s="31">
        <v>120.0</v>
      </c>
      <c r="F34" s="31"/>
      <c r="G34" s="31"/>
      <c r="H34" s="31">
        <v>22.0</v>
      </c>
      <c r="I34" s="31"/>
      <c r="J34" s="31"/>
      <c r="K34" s="31"/>
      <c r="L34" s="31"/>
      <c r="M34" s="31"/>
      <c r="N34" s="31" t="s">
        <v>1120</v>
      </c>
      <c r="O34" s="31">
        <f t="array" ref="O34">int(int(int($J34*XLOOKUP($N34,Settings[Role],Settings[f(HMP)])*XLOOKUP($N34,Settings[Role],Settings[f(DET)]))/100)/1000)</f>
        <v>0</v>
      </c>
      <c r="P34" s="31">
        <f t="array" ref="P34">int(int(int(int(int(int($O34*XLOOKUP($N34,Settings[Role],Settings[f(TNC)]))/1000)*XLOOKUP($N34,Settings[Role],Settings[f(WD)]))/100)*XLOOKUP($N34,Settings[Role],Settings[Trait]))/100)</f>
        <v>0</v>
      </c>
      <c r="Q34" s="31">
        <f t="array" ref="Q34">int(int(int($K34*XLOOKUP($N34,Settings[Role],Settings[f(HMP)])*XLOOKUP($N34,Settings[Role],Settings[f(DET)]))/100)/1000)</f>
        <v>0</v>
      </c>
      <c r="R34" s="31">
        <f t="array" ref="R34">int(int(int(int(int(int(int(int($Q34*XLOOKUP($N34,Settings[Role],Settings[f(TNC)]))/1000)
*XLOOKUP($N34,Settings[Role],Settings[f(SPD)]))/1000)
*XLOOKUP($N34,Settings[Role],Settings[f(WD)]))/100)
*XLOOKUP($N34,Settings[Role],Settings[Trait]))/100)</f>
        <v>0</v>
      </c>
      <c r="S34" s="31">
        <f t="shared" si="1"/>
        <v>0</v>
      </c>
      <c r="T34" s="31">
        <f t="array" ref="T34">int(int(int($L34*XLOOKUP($N34,Settings[Role],Settings[f(HMP)])*XLOOKUP($N34,Settings[Role],Settings[f(DET)]))/100)/1000)</f>
        <v>0</v>
      </c>
      <c r="U34" s="31">
        <f t="array" ref="U34">int(int(int(int(int(int($T34*XLOOKUP($N34,Settings[Role],Settings[f(TNC)]))/1000)*XLOOKUP($N34,Settings[Role],Settings[f(WD)]))/100)*XLOOKUP($N34,Settings[Role],Settings[Trait]))/100)</f>
        <v>0</v>
      </c>
      <c r="V34" s="31"/>
      <c r="W34" s="31">
        <f t="array" ref="W34">int(if($V34&lt;&gt;"",XLOOKUP($N34,Settings[Role],Settings[HP])*$V34,""))</f>
        <v>0</v>
      </c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</row>
    <row r="35" ht="22.5" customHeight="1">
      <c r="A35" s="31" t="s">
        <v>1133</v>
      </c>
      <c r="B35" s="32" t="str">
        <f>IMAGE("https://lds-img.finalfantasyxiv.com/d/86ce58393104f45f36ef15d9d358a684c4013df4.png")</f>
        <v/>
      </c>
      <c r="C35" s="31">
        <v>80.0</v>
      </c>
      <c r="D35" s="31" t="s">
        <v>1142</v>
      </c>
      <c r="E35" s="31">
        <v>30.0</v>
      </c>
      <c r="F35" s="31">
        <v>2.0</v>
      </c>
      <c r="G35" s="31"/>
      <c r="H35" s="31"/>
      <c r="I35" s="31"/>
      <c r="J35" s="31">
        <v>237.0</v>
      </c>
      <c r="K35" s="31"/>
      <c r="L35" s="31">
        <f t="shared" ref="L35:L37" si="3">J35*1</f>
        <v>237</v>
      </c>
      <c r="M35" s="31">
        <v>30.0</v>
      </c>
      <c r="N35" s="31" t="s">
        <v>1120</v>
      </c>
      <c r="O35" s="31">
        <f t="array" ref="O35">int(int(int($J35*XLOOKUP($N35,Settings[Role],Settings[f(HMP)])*XLOOKUP($N35,Settings[Role],Settings[f(DET)]))/100)/1000)</f>
        <v>6170</v>
      </c>
      <c r="P35" s="31">
        <f t="array" ref="P35">int(int(int(int(int(int($O35*XLOOKUP($N35,Settings[Role],Settings[f(TNC)]))/1000)*XLOOKUP($N35,Settings[Role],Settings[f(WD)]))/100)*XLOOKUP($N35,Settings[Role],Settings[Trait]))/100)</f>
        <v>16361</v>
      </c>
      <c r="Q35" s="31">
        <f t="array" ref="Q35">int(int(int($K35*XLOOKUP($N35,Settings[Role],Settings[f(HMP)])*XLOOKUP($N35,Settings[Role],Settings[f(DET)]))/100)/1000)</f>
        <v>0</v>
      </c>
      <c r="R35" s="31">
        <f t="array" ref="R35">int(int(int(int(int(int(int(int($Q35*XLOOKUP($N35,Settings[Role],Settings[f(TNC)]))/1000)
*XLOOKUP($N35,Settings[Role],Settings[f(SPD)]))/1000)
*XLOOKUP($N35,Settings[Role],Settings[f(WD)]))/100)
*XLOOKUP($N35,Settings[Role],Settings[Trait]))/100)</f>
        <v>0</v>
      </c>
      <c r="S35" s="31">
        <f t="shared" si="1"/>
        <v>0</v>
      </c>
      <c r="T35" s="31">
        <f t="array" ref="T35">int(int(int($L35*XLOOKUP($N35,Settings[Role],Settings[f(HMP)])*XLOOKUP($N35,Settings[Role],Settings[f(DET)]))/100)/1000)</f>
        <v>6170</v>
      </c>
      <c r="U35" s="31">
        <f t="array" ref="U35">int(int(int(int(int(int($T35*XLOOKUP($N35,Settings[Role],Settings[f(TNC)]))/1000)*XLOOKUP($N35,Settings[Role],Settings[f(WD)]))/100)*XLOOKUP($N35,Settings[Role],Settings[Trait]))/100)</f>
        <v>16361</v>
      </c>
      <c r="V35" s="31"/>
      <c r="W35" s="31">
        <f t="array" ref="W35">int(if($V35&lt;&gt;"",XLOOKUP($N35,Settings[Role],Settings[HP])*$V35,""))</f>
        <v>0</v>
      </c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</row>
    <row r="36" ht="22.5" customHeight="1">
      <c r="A36" s="31" t="s">
        <v>1133</v>
      </c>
      <c r="B36" s="32" t="str">
        <f>IMAGE("https://lds-img.finalfantasyxiv.com/d/07f1ba0fbda8b1b69078795da3932089e055e10d.png")</f>
        <v/>
      </c>
      <c r="C36" s="31">
        <v>80.0</v>
      </c>
      <c r="D36" s="31" t="s">
        <v>1143</v>
      </c>
      <c r="E36" s="31">
        <v>0.0</v>
      </c>
      <c r="F36" s="31"/>
      <c r="G36" s="31"/>
      <c r="H36" s="31"/>
      <c r="I36" s="31"/>
      <c r="J36" s="31">
        <v>170.0</v>
      </c>
      <c r="K36" s="31"/>
      <c r="L36" s="31">
        <f t="shared" si="3"/>
        <v>170</v>
      </c>
      <c r="M36" s="31">
        <v>30.0</v>
      </c>
      <c r="N36" s="31" t="s">
        <v>1120</v>
      </c>
      <c r="O36" s="31">
        <f t="array" ref="O36">int(int(int($J36*XLOOKUP($N36,Settings[Role],Settings[f(HMP)])*XLOOKUP($N36,Settings[Role],Settings[f(DET)]))/100)/1000)</f>
        <v>4426</v>
      </c>
      <c r="P36" s="31">
        <f t="array" ref="P36">int(int(int(int(int(int($O36*XLOOKUP($N36,Settings[Role],Settings[f(TNC)]))/1000)*XLOOKUP($N36,Settings[Role],Settings[f(WD)]))/100)*XLOOKUP($N36,Settings[Role],Settings[Trait]))/100)</f>
        <v>11737</v>
      </c>
      <c r="Q36" s="31">
        <f t="array" ref="Q36">int(int(int($K36*XLOOKUP($N36,Settings[Role],Settings[f(HMP)])*XLOOKUP($N36,Settings[Role],Settings[f(DET)]))/100)/1000)</f>
        <v>0</v>
      </c>
      <c r="R36" s="31">
        <f t="array" ref="R36">int(int(int(int(int(int(int(int($Q36*XLOOKUP($N36,Settings[Role],Settings[f(TNC)]))/1000)
*XLOOKUP($N36,Settings[Role],Settings[f(SPD)]))/1000)
*XLOOKUP($N36,Settings[Role],Settings[f(WD)]))/100)
*XLOOKUP($N36,Settings[Role],Settings[Trait]))/100)</f>
        <v>0</v>
      </c>
      <c r="S36" s="31">
        <f t="shared" si="1"/>
        <v>0</v>
      </c>
      <c r="T36" s="31">
        <f t="array" ref="T36">int(int(int($L36*XLOOKUP($N36,Settings[Role],Settings[f(HMP)])*XLOOKUP($N36,Settings[Role],Settings[f(DET)]))/100)/1000)</f>
        <v>4426</v>
      </c>
      <c r="U36" s="31">
        <f t="array" ref="U36">int(int(int(int(int(int($T36*XLOOKUP($N36,Settings[Role],Settings[f(TNC)]))/1000)*XLOOKUP($N36,Settings[Role],Settings[f(WD)]))/100)*XLOOKUP($N36,Settings[Role],Settings[Trait]))/100)</f>
        <v>11737</v>
      </c>
      <c r="V36" s="31"/>
      <c r="W36" s="31">
        <f t="array" ref="W36">int(if($V36&lt;&gt;"",XLOOKUP($N36,Settings[Role],Settings[HP])*$V36,""))</f>
        <v>0</v>
      </c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</row>
    <row r="37" ht="22.5" customHeight="1">
      <c r="A37" s="31" t="s">
        <v>1133</v>
      </c>
      <c r="B37" s="32" t="str">
        <f>IMAGE("https://lds-img.finalfantasyxiv.com/d/a46c7dccd2bb9a8fe7a472766acf8138f2ada3e8.png")</f>
        <v/>
      </c>
      <c r="C37" s="31">
        <v>86.0</v>
      </c>
      <c r="D37" s="31" t="s">
        <v>1144</v>
      </c>
      <c r="E37" s="31">
        <v>60.0</v>
      </c>
      <c r="F37" s="31"/>
      <c r="G37" s="31"/>
      <c r="H37" s="31"/>
      <c r="I37" s="31">
        <v>1.1</v>
      </c>
      <c r="J37" s="31"/>
      <c r="K37" s="31"/>
      <c r="L37" s="31">
        <f t="shared" si="3"/>
        <v>0</v>
      </c>
      <c r="M37" s="31"/>
      <c r="N37" s="31" t="s">
        <v>1120</v>
      </c>
      <c r="O37" s="31">
        <f t="array" ref="O37">int(int(int($J37*XLOOKUP($N37,Settings[Role],Settings[f(HMP)])*XLOOKUP($N37,Settings[Role],Settings[f(DET)]))/100)/1000)</f>
        <v>0</v>
      </c>
      <c r="P37" s="31">
        <f t="array" ref="P37">int(int(int(int(int(int($O37*XLOOKUP($N37,Settings[Role],Settings[f(TNC)]))/1000)*XLOOKUP($N37,Settings[Role],Settings[f(WD)]))/100)*XLOOKUP($N37,Settings[Role],Settings[Trait]))/100)</f>
        <v>0</v>
      </c>
      <c r="Q37" s="31">
        <f t="array" ref="Q37">int(int(int($K37*XLOOKUP($N37,Settings[Role],Settings[f(HMP)])*XLOOKUP($N37,Settings[Role],Settings[f(DET)]))/100)/1000)</f>
        <v>0</v>
      </c>
      <c r="R37" s="31">
        <f t="array" ref="R37">int(int(int(int(int(int(int(int($Q37*XLOOKUP($N37,Settings[Role],Settings[f(TNC)]))/1000)
*XLOOKUP($N37,Settings[Role],Settings[f(SPD)]))/1000)
*XLOOKUP($N37,Settings[Role],Settings[f(WD)]))/100)
*XLOOKUP($N37,Settings[Role],Settings[Trait]))/100)</f>
        <v>0</v>
      </c>
      <c r="S37" s="31">
        <f t="shared" si="1"/>
        <v>0</v>
      </c>
      <c r="T37" s="31">
        <f t="array" ref="T37">int(int(int($L37*XLOOKUP($N37,Settings[Role],Settings[f(HMP)])*XLOOKUP($N37,Settings[Role],Settings[f(DET)]))/100)/1000)</f>
        <v>0</v>
      </c>
      <c r="U37" s="31">
        <f t="array" ref="U37">int(int(int(int(int(int($T37*XLOOKUP($N37,Settings[Role],Settings[f(TNC)]))/1000)*XLOOKUP($N37,Settings[Role],Settings[f(WD)]))/100)*XLOOKUP($N37,Settings[Role],Settings[Trait]))/100)</f>
        <v>0</v>
      </c>
      <c r="V37" s="31"/>
      <c r="W37" s="31">
        <f t="array" ref="W37">int(if($V37&lt;&gt;"",XLOOKUP($N37,Settings[Role],Settings[HP])*$V37,""))</f>
        <v>0</v>
      </c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</row>
    <row r="38" ht="22.5" customHeight="1">
      <c r="A38" s="31" t="s">
        <v>1133</v>
      </c>
      <c r="B38" s="32" t="str">
        <f>IMAGE("https://lds-img.finalfantasyxiv.com/d/023d8827b75a8d5d6682a81acf1016371366f8e8.png")</f>
        <v/>
      </c>
      <c r="C38" s="31">
        <v>90.0</v>
      </c>
      <c r="D38" s="31" t="s">
        <v>1145</v>
      </c>
      <c r="E38" s="31">
        <v>120.0</v>
      </c>
      <c r="F38" s="31"/>
      <c r="G38" s="31">
        <v>0.9</v>
      </c>
      <c r="H38" s="31">
        <v>20.0</v>
      </c>
      <c r="I38" s="31"/>
      <c r="J38" s="31"/>
      <c r="K38" s="31"/>
      <c r="L38" s="31"/>
      <c r="M38" s="31"/>
      <c r="N38" s="31" t="s">
        <v>1120</v>
      </c>
      <c r="O38" s="31">
        <f t="array" ref="O38">int(int(int($J38*XLOOKUP($N38,Settings[Role],Settings[f(HMP)])*XLOOKUP($N38,Settings[Role],Settings[f(DET)]))/100)/1000)</f>
        <v>0</v>
      </c>
      <c r="P38" s="31">
        <f t="array" ref="P38">int(int(int(int(int(int($O38*XLOOKUP($N38,Settings[Role],Settings[f(TNC)]))/1000)*XLOOKUP($N38,Settings[Role],Settings[f(WD)]))/100)*XLOOKUP($N38,Settings[Role],Settings[Trait]))/100)</f>
        <v>0</v>
      </c>
      <c r="Q38" s="31">
        <f t="array" ref="Q38">int(int(int($K38*XLOOKUP($N38,Settings[Role],Settings[f(HMP)])*XLOOKUP($N38,Settings[Role],Settings[f(DET)]))/100)/1000)</f>
        <v>0</v>
      </c>
      <c r="R38" s="31">
        <f t="array" ref="R38">int(int(int(int(int(int(int(int($Q38*XLOOKUP($N38,Settings[Role],Settings[f(TNC)]))/1000)
*XLOOKUP($N38,Settings[Role],Settings[f(SPD)]))/1000)
*XLOOKUP($N38,Settings[Role],Settings[f(WD)]))/100)
*XLOOKUP($N38,Settings[Role],Settings[Trait]))/100)</f>
        <v>0</v>
      </c>
      <c r="S38" s="31">
        <f t="shared" si="1"/>
        <v>0</v>
      </c>
      <c r="T38" s="31">
        <f t="array" ref="T38">int(int(int($L38*XLOOKUP($N38,Settings[Role],Settings[f(HMP)])*XLOOKUP($N38,Settings[Role],Settings[f(DET)]))/100)/1000)</f>
        <v>0</v>
      </c>
      <c r="U38" s="31">
        <f t="array" ref="U38">int(int(int(int(int(int($T38*XLOOKUP($N38,Settings[Role],Settings[f(TNC)]))/1000)*XLOOKUP($N38,Settings[Role],Settings[f(WD)]))/100)*XLOOKUP($N38,Settings[Role],Settings[Trait]))/100)</f>
        <v>0</v>
      </c>
      <c r="V38" s="31"/>
      <c r="W38" s="31">
        <f t="array" ref="W38">int(if($V38&lt;&gt;"",XLOOKUP($N38,Settings[Role],Settings[HP])*$V38,""))</f>
        <v>0</v>
      </c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</row>
    <row r="39" ht="22.5" customHeight="1">
      <c r="A39" s="31" t="s">
        <v>1133</v>
      </c>
      <c r="B39" s="32" t="str">
        <f>IMAGE("https://lds-img.finalfantasyxiv.com/d/f124b01882a45f5befe10fa82964fc7fb7895e8c.png")</f>
        <v/>
      </c>
      <c r="C39" s="31">
        <v>96.0</v>
      </c>
      <c r="D39" s="31" t="s">
        <v>1146</v>
      </c>
      <c r="E39" s="31">
        <v>2.5</v>
      </c>
      <c r="F39" s="31"/>
      <c r="G39" s="31"/>
      <c r="H39" s="31"/>
      <c r="I39" s="31"/>
      <c r="J39" s="31">
        <v>200.0</v>
      </c>
      <c r="K39" s="31"/>
      <c r="L39" s="31">
        <f>J39*1.8</f>
        <v>360</v>
      </c>
      <c r="M39" s="31">
        <v>30.0</v>
      </c>
      <c r="N39" s="31" t="s">
        <v>1120</v>
      </c>
      <c r="O39" s="31">
        <f t="array" ref="O39">int(int(int($J39*XLOOKUP($N39,Settings[Role],Settings[f(HMP)])*XLOOKUP($N39,Settings[Role],Settings[f(DET)]))/100)/1000)</f>
        <v>5207</v>
      </c>
      <c r="P39" s="31">
        <f t="array" ref="P39">int(int(int(int(int(int($O39*XLOOKUP($N39,Settings[Role],Settings[f(TNC)]))/1000)*XLOOKUP($N39,Settings[Role],Settings[f(WD)]))/100)*XLOOKUP($N39,Settings[Role],Settings[Trait]))/100)</f>
        <v>13808</v>
      </c>
      <c r="Q39" s="31">
        <f t="array" ref="Q39">int(int(int($K39*XLOOKUP($N39,Settings[Role],Settings[f(HMP)])*XLOOKUP($N39,Settings[Role],Settings[f(DET)]))/100)/1000)</f>
        <v>0</v>
      </c>
      <c r="R39" s="31">
        <f t="array" ref="R39">int(int(int(int(int(int(int(int($Q39*XLOOKUP($N39,Settings[Role],Settings[f(TNC)]))/1000)
*XLOOKUP($N39,Settings[Role],Settings[f(SPD)]))/1000)
*XLOOKUP($N39,Settings[Role],Settings[f(WD)]))/100)
*XLOOKUP($N39,Settings[Role],Settings[Trait]))/100)</f>
        <v>0</v>
      </c>
      <c r="S39" s="31">
        <f t="shared" si="1"/>
        <v>0</v>
      </c>
      <c r="T39" s="31">
        <f t="array" ref="T39">int(int(int($L39*XLOOKUP($N39,Settings[Role],Settings[f(HMP)])*XLOOKUP($N39,Settings[Role],Settings[f(DET)]))/100)/1000)</f>
        <v>9373</v>
      </c>
      <c r="U39" s="31">
        <f t="array" ref="U39">int(int(int(int(int(int($T39*XLOOKUP($N39,Settings[Role],Settings[f(TNC)]))/1000)*XLOOKUP($N39,Settings[Role],Settings[f(WD)]))/100)*XLOOKUP($N39,Settings[Role],Settings[Trait]))/100)</f>
        <v>24856</v>
      </c>
      <c r="V39" s="31"/>
      <c r="W39" s="31">
        <f t="array" ref="W39">int(if($V39&lt;&gt;"",XLOOKUP($N39,Settings[Role],Settings[HP])*$V39,""))</f>
        <v>0</v>
      </c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</row>
    <row r="40" ht="22.5" customHeight="1">
      <c r="A40" s="31" t="s">
        <v>1133</v>
      </c>
      <c r="B40" s="32" t="str">
        <f>IMAGE("https://lds-img.finalfantasyxiv.com/d/3660e0317ed2aba78b7cfdc526dd174efa94d88d.png")</f>
        <v/>
      </c>
      <c r="C40" s="31">
        <v>100.0</v>
      </c>
      <c r="D40" s="31" t="s">
        <v>1147</v>
      </c>
      <c r="E40" s="31">
        <v>180.0</v>
      </c>
      <c r="F40" s="31"/>
      <c r="G40" s="31"/>
      <c r="H40" s="31">
        <v>20.0</v>
      </c>
      <c r="I40" s="31"/>
      <c r="J40" s="31"/>
      <c r="K40" s="31">
        <v>100.0</v>
      </c>
      <c r="L40" s="31"/>
      <c r="M40" s="31"/>
      <c r="N40" s="31" t="s">
        <v>1120</v>
      </c>
      <c r="O40" s="31">
        <f t="array" ref="O40">int(int(int($J40*XLOOKUP($N40,Settings[Role],Settings[f(HMP)])*XLOOKUP($N40,Settings[Role],Settings[f(DET)]))/100)/1000)</f>
        <v>0</v>
      </c>
      <c r="P40" s="31">
        <f t="array" ref="P40">int(int(int(int(int(int($O40*XLOOKUP($N40,Settings[Role],Settings[f(TNC)]))/1000)*XLOOKUP($N40,Settings[Role],Settings[f(WD)]))/100)*XLOOKUP($N40,Settings[Role],Settings[Trait]))/100)</f>
        <v>0</v>
      </c>
      <c r="Q40" s="31">
        <f t="array" ref="Q40">int(int(int($K40*XLOOKUP($N40,Settings[Role],Settings[f(HMP)])*XLOOKUP($N40,Settings[Role],Settings[f(DET)]))/100)/1000)</f>
        <v>2603</v>
      </c>
      <c r="R40" s="31">
        <f t="array" ref="R40">int(int(int(int(int(int(int(int($Q40*XLOOKUP($N40,Settings[Role],Settings[f(TNC)]))/1000)
*XLOOKUP($N40,Settings[Role],Settings[f(SPD)]))/1000)
*XLOOKUP($N40,Settings[Role],Settings[f(WD)]))/100)
*XLOOKUP($N40,Settings[Role],Settings[Trait]))/100)</f>
        <v>7156</v>
      </c>
      <c r="S40" s="31">
        <f t="shared" si="1"/>
        <v>47706</v>
      </c>
      <c r="T40" s="31">
        <f t="array" ref="T40">int(int(int($L40*XLOOKUP($N40,Settings[Role],Settings[f(HMP)])*XLOOKUP($N40,Settings[Role],Settings[f(DET)]))/100)/1000)</f>
        <v>0</v>
      </c>
      <c r="U40" s="31">
        <f t="array" ref="U40">int(int(int(int(int(int($T40*XLOOKUP($N40,Settings[Role],Settings[f(TNC)]))/1000)*XLOOKUP($N40,Settings[Role],Settings[f(WD)]))/100)*XLOOKUP($N40,Settings[Role],Settings[Trait]))/100)</f>
        <v>0</v>
      </c>
      <c r="V40" s="31"/>
      <c r="W40" s="31">
        <f t="array" ref="W40">int(if($V40&lt;&gt;"",XLOOKUP($N40,Settings[Role],Settings[HP])*$V40,""))</f>
        <v>0</v>
      </c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</row>
    <row r="41" ht="22.5" customHeight="1">
      <c r="A41" s="31" t="s">
        <v>1133</v>
      </c>
      <c r="B41" s="32" t="str">
        <f>IMAGE("https://lds-img.finalfantasyxiv.com/d/c859b1042c024b57c646316f1e0e93ff5e5f90fb.png")</f>
        <v/>
      </c>
      <c r="C41" s="31">
        <v>100.0</v>
      </c>
      <c r="D41" s="31" t="s">
        <v>1148</v>
      </c>
      <c r="E41" s="31">
        <v>180.0</v>
      </c>
      <c r="F41" s="31"/>
      <c r="G41" s="31"/>
      <c r="H41" s="31"/>
      <c r="I41" s="31"/>
      <c r="J41" s="31">
        <v>240.0</v>
      </c>
      <c r="K41" s="31"/>
      <c r="L41" s="31">
        <f>J41*1.8</f>
        <v>432</v>
      </c>
      <c r="M41" s="31">
        <v>30.0</v>
      </c>
      <c r="N41" s="31" t="s">
        <v>1120</v>
      </c>
      <c r="O41" s="31">
        <f t="array" ref="O41">int(int(int($J41*XLOOKUP($N41,Settings[Role],Settings[f(HMP)])*XLOOKUP($N41,Settings[Role],Settings[f(DET)]))/100)/1000)</f>
        <v>6248</v>
      </c>
      <c r="P41" s="31">
        <f t="array" ref="P41">int(int(int(int(int(int($O41*XLOOKUP($N41,Settings[Role],Settings[f(TNC)]))/1000)*XLOOKUP($N41,Settings[Role],Settings[f(WD)]))/100)*XLOOKUP($N41,Settings[Role],Settings[Trait]))/100)</f>
        <v>16568</v>
      </c>
      <c r="Q41" s="31">
        <f t="array" ref="Q41">int(int(int($K41*XLOOKUP($N41,Settings[Role],Settings[f(HMP)])*XLOOKUP($N41,Settings[Role],Settings[f(DET)]))/100)/1000)</f>
        <v>0</v>
      </c>
      <c r="R41" s="31">
        <f t="array" ref="R41">int(int(int(int(int(int(int(int($Q41*XLOOKUP($N41,Settings[Role],Settings[f(TNC)]))/1000)
*XLOOKUP($N41,Settings[Role],Settings[f(SPD)]))/1000)
*XLOOKUP($N41,Settings[Role],Settings[f(WD)]))/100)
*XLOOKUP($N41,Settings[Role],Settings[Trait]))/100)</f>
        <v>0</v>
      </c>
      <c r="S41" s="31">
        <f t="shared" si="1"/>
        <v>0</v>
      </c>
      <c r="T41" s="31">
        <f t="array" ref="T41">int(int(int($L41*XLOOKUP($N41,Settings[Role],Settings[f(HMP)])*XLOOKUP($N41,Settings[Role],Settings[f(DET)]))/100)/1000)</f>
        <v>11248</v>
      </c>
      <c r="U41" s="31">
        <f t="array" ref="U41">int(int(int(int(int(int($T41*XLOOKUP($N41,Settings[Role],Settings[f(TNC)]))/1000)*XLOOKUP($N41,Settings[Role],Settings[f(WD)]))/100)*XLOOKUP($N41,Settings[Role],Settings[Trait]))/100)</f>
        <v>29828</v>
      </c>
      <c r="V41" s="31"/>
      <c r="W41" s="31">
        <f t="array" ref="W41">int(if($V41&lt;&gt;"",XLOOKUP($N41,Settings[Role],Settings[HP])*$V41,""))</f>
        <v>0</v>
      </c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 ht="22.5" customHeight="1">
      <c r="A42" s="31" t="s">
        <v>1149</v>
      </c>
      <c r="B42" s="32" t="str">
        <f>IMAGE("https://lds-img.finalfantasyxiv.com/d/4de44df1a7ba71fdd94b5e4d26b378c8895c594a.png")</f>
        <v/>
      </c>
      <c r="C42" s="31">
        <v>10.0</v>
      </c>
      <c r="D42" s="31" t="s">
        <v>1150</v>
      </c>
      <c r="E42" s="31">
        <v>2.5</v>
      </c>
      <c r="F42" s="31"/>
      <c r="G42" s="31"/>
      <c r="H42" s="31"/>
      <c r="I42" s="31"/>
      <c r="J42" s="31">
        <v>400.0</v>
      </c>
      <c r="K42" s="31"/>
      <c r="L42" s="31"/>
      <c r="M42" s="31"/>
      <c r="N42" s="31" t="s">
        <v>1120</v>
      </c>
      <c r="O42" s="31">
        <f t="array" ref="O42">int(int(int($J42*XLOOKUP($N42,Settings[Role],Settings[f(HMP)])*XLOOKUP($N42,Settings[Role],Settings[f(DET)]))/100)/1000)</f>
        <v>10414</v>
      </c>
      <c r="P42" s="31">
        <f t="array" ref="P42">int(int(int(int(int(int($O42*XLOOKUP($N42,Settings[Role],Settings[f(TNC)]))/1000)*XLOOKUP($N42,Settings[Role],Settings[f(WD)]))/100)*XLOOKUP($N42,Settings[Role],Settings[Trait]))/100)</f>
        <v>27617</v>
      </c>
      <c r="Q42" s="31">
        <f t="array" ref="Q42">int(int(int($K42*XLOOKUP($N42,Settings[Role],Settings[f(HMP)])*XLOOKUP($N42,Settings[Role],Settings[f(DET)]))/100)/1000)</f>
        <v>0</v>
      </c>
      <c r="R42" s="31">
        <f t="array" ref="R42">int(int(int(int(int(int(int(int($Q42*XLOOKUP($N42,Settings[Role],Settings[f(TNC)]))/1000)
*XLOOKUP($N42,Settings[Role],Settings[f(SPD)]))/1000)
*XLOOKUP($N42,Settings[Role],Settings[f(WD)]))/100)
*XLOOKUP($N42,Settings[Role],Settings[Trait]))/100)</f>
        <v>0</v>
      </c>
      <c r="S42" s="31">
        <f t="shared" si="1"/>
        <v>0</v>
      </c>
      <c r="T42" s="31">
        <f t="array" ref="T42">int(int(int($L42*XLOOKUP($N42,Settings[Role],Settings[f(HMP)])*XLOOKUP($N42,Settings[Role],Settings[f(DET)]))/100)/1000)</f>
        <v>0</v>
      </c>
      <c r="U42" s="31">
        <f t="array" ref="U42">int(int(int(int(int(int($T42*XLOOKUP($N42,Settings[Role],Settings[f(TNC)]))/1000)*XLOOKUP($N42,Settings[Role],Settings[f(WD)]))/100)*XLOOKUP($N42,Settings[Role],Settings[Trait]))/100)</f>
        <v>0</v>
      </c>
      <c r="V42" s="31"/>
      <c r="W42" s="31">
        <f t="array" ref="W42">int(if($V42&lt;&gt;"",XLOOKUP($N42,Settings[Role],Settings[HP])*$V42,""))</f>
        <v>0</v>
      </c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</row>
    <row r="43" ht="22.5" customHeight="1">
      <c r="A43" s="31" t="s">
        <v>1149</v>
      </c>
      <c r="B43" s="32" t="str">
        <f>IMAGE("https://lds-img.finalfantasyxiv.com/d/f77f8fb51548637c94db4f1b8e90fc7b1a4ee55f.png")</f>
        <v/>
      </c>
      <c r="C43" s="31">
        <v>26.0</v>
      </c>
      <c r="D43" s="31" t="s">
        <v>1151</v>
      </c>
      <c r="E43" s="31">
        <v>2.5</v>
      </c>
      <c r="F43" s="31"/>
      <c r="G43" s="31"/>
      <c r="H43" s="31"/>
      <c r="I43" s="31"/>
      <c r="J43" s="31">
        <v>800.0</v>
      </c>
      <c r="K43" s="31"/>
      <c r="L43" s="31"/>
      <c r="M43" s="31"/>
      <c r="N43" s="31" t="s">
        <v>1120</v>
      </c>
      <c r="O43" s="31">
        <f t="array" ref="O43">int(int(int($J43*XLOOKUP($N43,Settings[Role],Settings[f(HMP)])*XLOOKUP($N43,Settings[Role],Settings[f(DET)]))/100)/1000)</f>
        <v>20829</v>
      </c>
      <c r="P43" s="31">
        <f t="array" ref="P43">int(int(int(int(int(int($O43*XLOOKUP($N43,Settings[Role],Settings[f(TNC)]))/1000)*XLOOKUP($N43,Settings[Role],Settings[f(WD)]))/100)*XLOOKUP($N43,Settings[Role],Settings[Trait]))/100)</f>
        <v>55238</v>
      </c>
      <c r="Q43" s="31">
        <f t="array" ref="Q43">int(int(int($K43*XLOOKUP($N43,Settings[Role],Settings[f(HMP)])*XLOOKUP($N43,Settings[Role],Settings[f(DET)]))/100)/1000)</f>
        <v>0</v>
      </c>
      <c r="R43" s="31">
        <f t="array" ref="R43">int(int(int(int(int(int(int(int($Q43*XLOOKUP($N43,Settings[Role],Settings[f(TNC)]))/1000)
*XLOOKUP($N43,Settings[Role],Settings[f(SPD)]))/1000)
*XLOOKUP($N43,Settings[Role],Settings[f(WD)]))/100)
*XLOOKUP($N43,Settings[Role],Settings[Trait]))/100)</f>
        <v>0</v>
      </c>
      <c r="S43" s="31">
        <f t="shared" si="1"/>
        <v>0</v>
      </c>
      <c r="T43" s="31">
        <f t="array" ref="T43">int(int(int($L43*XLOOKUP($N43,Settings[Role],Settings[f(HMP)])*XLOOKUP($N43,Settings[Role],Settings[f(DET)]))/100)/1000)</f>
        <v>0</v>
      </c>
      <c r="U43" s="31">
        <f t="array" ref="U43">int(int(int(int(int(int($T43*XLOOKUP($N43,Settings[Role],Settings[f(TNC)]))/1000)*XLOOKUP($N43,Settings[Role],Settings[f(WD)]))/100)*XLOOKUP($N43,Settings[Role],Settings[Trait]))/100)</f>
        <v>0</v>
      </c>
      <c r="V43" s="31"/>
      <c r="W43" s="31">
        <f t="array" ref="W43">int(if($V43&lt;&gt;"",XLOOKUP($N43,Settings[Role],Settings[HP])*$V43,""))</f>
        <v>0</v>
      </c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</row>
    <row r="44" ht="22.5" customHeight="1">
      <c r="A44" s="31" t="s">
        <v>1149</v>
      </c>
      <c r="B44" s="32" t="str">
        <f>IMAGE("https://lds-img.finalfantasyxiv.com/d/a367b1927bdd52461ad5be58631c2df03d7e21ff.png")</f>
        <v/>
      </c>
      <c r="C44" s="31">
        <v>30.0</v>
      </c>
      <c r="D44" s="31" t="s">
        <v>1152</v>
      </c>
      <c r="E44" s="31">
        <v>1.0</v>
      </c>
      <c r="F44" s="31"/>
      <c r="G44" s="31"/>
      <c r="H44" s="31"/>
      <c r="I44" s="31"/>
      <c r="J44" s="31"/>
      <c r="K44" s="31"/>
      <c r="L44" s="31">
        <v>400.0</v>
      </c>
      <c r="M44" s="31">
        <v>30.0</v>
      </c>
      <c r="N44" s="31" t="s">
        <v>1120</v>
      </c>
      <c r="O44" s="31">
        <f t="array" ref="O44">int(int(int($J44*XLOOKUP($N44,Settings[Role],Settings[f(HMP)])*XLOOKUP($N44,Settings[Role],Settings[f(DET)]))/100)/1000)</f>
        <v>0</v>
      </c>
      <c r="P44" s="31">
        <f t="array" ref="P44">int(int(int(int(int(int($O44*XLOOKUP($N44,Settings[Role],Settings[f(TNC)]))/1000)*XLOOKUP($N44,Settings[Role],Settings[f(WD)]))/100)*XLOOKUP($N44,Settings[Role],Settings[Trait]))/100)</f>
        <v>0</v>
      </c>
      <c r="Q44" s="31">
        <f t="array" ref="Q44">int(int(int($K44*XLOOKUP($N44,Settings[Role],Settings[f(HMP)])*XLOOKUP($N44,Settings[Role],Settings[f(DET)]))/100)/1000)</f>
        <v>0</v>
      </c>
      <c r="R44" s="31">
        <f t="array" ref="R44">int(int(int(int(int(int(int(int($Q44*XLOOKUP($N44,Settings[Role],Settings[f(TNC)]))/1000)
*XLOOKUP($N44,Settings[Role],Settings[f(SPD)]))/1000)
*XLOOKUP($N44,Settings[Role],Settings[f(WD)]))/100)
*XLOOKUP($N44,Settings[Role],Settings[Trait]))/100)</f>
        <v>0</v>
      </c>
      <c r="S44" s="31">
        <f t="shared" si="1"/>
        <v>0</v>
      </c>
      <c r="T44" s="31">
        <f t="array" ref="T44">int(int(int($L44*XLOOKUP($N44,Settings[Role],Settings[f(HMP)])*XLOOKUP($N44,Settings[Role],Settings[f(DET)]))/100)/1000)</f>
        <v>10414</v>
      </c>
      <c r="U44" s="31">
        <f t="array" ref="U44">int(int(int(int(int(int($T44*XLOOKUP($N44,Settings[Role],Settings[f(TNC)]))/1000)*XLOOKUP($N44,Settings[Role],Settings[f(WD)]))/100)*XLOOKUP($N44,Settings[Role],Settings[Trait]))/100)</f>
        <v>27617</v>
      </c>
      <c r="V44" s="31"/>
      <c r="W44" s="31">
        <f t="array" ref="W44">int(if($V44&lt;&gt;"",XLOOKUP($N44,Settings[Role],Settings[HP])*$V44,""))</f>
        <v>0</v>
      </c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</row>
    <row r="45" ht="22.5" customHeight="1">
      <c r="A45" s="31" t="s">
        <v>1149</v>
      </c>
      <c r="B45" s="32" t="str">
        <f>IMAGE("https://lds-img.finalfantasyxiv.com/d/15cd4aec7df896b1c1c10069ba807d2ea5aeee59.png")</f>
        <v/>
      </c>
      <c r="C45" s="31">
        <v>30.0</v>
      </c>
      <c r="D45" s="31" t="s">
        <v>1153</v>
      </c>
      <c r="E45" s="31">
        <v>1.0</v>
      </c>
      <c r="F45" s="31"/>
      <c r="G45" s="31">
        <v>0.9</v>
      </c>
      <c r="H45" s="31">
        <v>15.0</v>
      </c>
      <c r="I45" s="31"/>
      <c r="J45" s="31"/>
      <c r="K45" s="31"/>
      <c r="L45" s="31"/>
      <c r="M45" s="31"/>
      <c r="N45" s="31" t="s">
        <v>1120</v>
      </c>
      <c r="O45" s="31">
        <f t="array" ref="O45">int(int(int($J45*XLOOKUP($N45,Settings[Role],Settings[f(HMP)])*XLOOKUP($N45,Settings[Role],Settings[f(DET)]))/100)/1000)</f>
        <v>0</v>
      </c>
      <c r="P45" s="31">
        <f t="array" ref="P45">int(int(int(int(int(int($O45*XLOOKUP($N45,Settings[Role],Settings[f(TNC)]))/1000)*XLOOKUP($N45,Settings[Role],Settings[f(WD)]))/100)*XLOOKUP($N45,Settings[Role],Settings[Trait]))/100)</f>
        <v>0</v>
      </c>
      <c r="Q45" s="31">
        <f t="array" ref="Q45">int(int(int($K45*XLOOKUP($N45,Settings[Role],Settings[f(HMP)])*XLOOKUP($N45,Settings[Role],Settings[f(DET)]))/100)/1000)</f>
        <v>0</v>
      </c>
      <c r="R45" s="31">
        <f t="array" ref="R45">int(int(int(int(int(int(int(int($Q45*XLOOKUP($N45,Settings[Role],Settings[f(TNC)]))/1000)
*XLOOKUP($N45,Settings[Role],Settings[f(SPD)]))/1000)
*XLOOKUP($N45,Settings[Role],Settings[f(WD)]))/100)
*XLOOKUP($N45,Settings[Role],Settings[Trait]))/100)</f>
        <v>0</v>
      </c>
      <c r="S45" s="31">
        <f t="shared" si="1"/>
        <v>0</v>
      </c>
      <c r="T45" s="31">
        <f t="array" ref="T45">int(int(int($L45*XLOOKUP($N45,Settings[Role],Settings[f(HMP)])*XLOOKUP($N45,Settings[Role],Settings[f(DET)]))/100)/1000)</f>
        <v>0</v>
      </c>
      <c r="U45" s="31">
        <f t="array" ref="U45">int(int(int(int(int(int($T45*XLOOKUP($N45,Settings[Role],Settings[f(TNC)]))/1000)*XLOOKUP($N45,Settings[Role],Settings[f(WD)]))/100)*XLOOKUP($N45,Settings[Role],Settings[Trait]))/100)</f>
        <v>0</v>
      </c>
      <c r="V45" s="31"/>
      <c r="W45" s="31">
        <f t="array" ref="W45">int(if($V45&lt;&gt;"",XLOOKUP($N45,Settings[Role],Settings[HP])*$V45,""))</f>
        <v>0</v>
      </c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  <row r="46" ht="22.5" customHeight="1">
      <c r="A46" s="31" t="s">
        <v>1149</v>
      </c>
      <c r="B46" s="32" t="str">
        <f>IMAGE("https://lds-img.finalfantasyxiv.com/d/43a2825d898ea1ec47249261e3d07d261f38a01c.png")</f>
        <v/>
      </c>
      <c r="C46" s="31">
        <v>30.0</v>
      </c>
      <c r="D46" s="31" t="s">
        <v>1154</v>
      </c>
      <c r="E46" s="31">
        <v>1.0</v>
      </c>
      <c r="F46" s="31"/>
      <c r="G46" s="31"/>
      <c r="H46" s="31">
        <v>15.0</v>
      </c>
      <c r="I46" s="31"/>
      <c r="J46" s="31"/>
      <c r="K46" s="31">
        <v>200.0</v>
      </c>
      <c r="L46" s="31"/>
      <c r="M46" s="31"/>
      <c r="N46" s="31" t="s">
        <v>1120</v>
      </c>
      <c r="O46" s="31">
        <f t="array" ref="O46">int(int(int($J46*XLOOKUP($N46,Settings[Role],Settings[f(HMP)])*XLOOKUP($N46,Settings[Role],Settings[f(DET)]))/100)/1000)</f>
        <v>0</v>
      </c>
      <c r="P46" s="31">
        <f t="array" ref="P46">int(int(int(int(int(int($O46*XLOOKUP($N46,Settings[Role],Settings[f(TNC)]))/1000)*XLOOKUP($N46,Settings[Role],Settings[f(WD)]))/100)*XLOOKUP($N46,Settings[Role],Settings[Trait]))/100)</f>
        <v>0</v>
      </c>
      <c r="Q46" s="31">
        <f t="array" ref="Q46">int(int(int($K46*XLOOKUP($N46,Settings[Role],Settings[f(HMP)])*XLOOKUP($N46,Settings[Role],Settings[f(DET)]))/100)/1000)</f>
        <v>5207</v>
      </c>
      <c r="R46" s="31">
        <f t="array" ref="R46">int(int(int(int(int(int(int(int($Q46*XLOOKUP($N46,Settings[Role],Settings[f(TNC)]))/1000)
*XLOOKUP($N46,Settings[Role],Settings[f(SPD)]))/1000)
*XLOOKUP($N46,Settings[Role],Settings[f(WD)]))/100)
*XLOOKUP($N46,Settings[Role],Settings[Trait]))/100)</f>
        <v>14316</v>
      </c>
      <c r="S46" s="31">
        <f t="shared" si="1"/>
        <v>71580</v>
      </c>
      <c r="T46" s="31">
        <f t="array" ref="T46">int(int(int($L46*XLOOKUP($N46,Settings[Role],Settings[f(HMP)])*XLOOKUP($N46,Settings[Role],Settings[f(DET)]))/100)/1000)</f>
        <v>0</v>
      </c>
      <c r="U46" s="31">
        <f t="array" ref="U46">int(int(int(int(int(int($T46*XLOOKUP($N46,Settings[Role],Settings[f(TNC)]))/1000)*XLOOKUP($N46,Settings[Role],Settings[f(WD)]))/100)*XLOOKUP($N46,Settings[Role],Settings[Trait]))/100)</f>
        <v>0</v>
      </c>
      <c r="V46" s="31"/>
      <c r="W46" s="31">
        <f t="array" ref="W46">int(if($V46&lt;&gt;"",XLOOKUP($N46,Settings[Role],Settings[HP])*$V46,""))</f>
        <v>0</v>
      </c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</row>
    <row r="47" ht="22.5" customHeight="1">
      <c r="A47" s="31" t="s">
        <v>1149</v>
      </c>
      <c r="B47" s="32" t="str">
        <f>IMAGE("https://lds-img.finalfantasyxiv.com/d/9bef02f2854edbe020ce99626c711e66d18e5f85.png")</f>
        <v/>
      </c>
      <c r="C47" s="31">
        <v>34.0</v>
      </c>
      <c r="D47" s="31" t="s">
        <v>1155</v>
      </c>
      <c r="E47" s="31">
        <v>2.5</v>
      </c>
      <c r="F47" s="31"/>
      <c r="G47" s="31"/>
      <c r="H47" s="31">
        <v>15.0</v>
      </c>
      <c r="I47" s="31"/>
      <c r="J47" s="31">
        <v>250.0</v>
      </c>
      <c r="K47" s="31">
        <v>250.0</v>
      </c>
      <c r="L47" s="31"/>
      <c r="M47" s="31"/>
      <c r="N47" s="31" t="s">
        <v>1120</v>
      </c>
      <c r="O47" s="31">
        <f t="array" ref="O47">int(int(int($J47*XLOOKUP($N47,Settings[Role],Settings[f(HMP)])*XLOOKUP($N47,Settings[Role],Settings[f(DET)]))/100)/1000)</f>
        <v>6509</v>
      </c>
      <c r="P47" s="31">
        <f t="array" ref="P47">int(int(int(int(int(int($O47*XLOOKUP($N47,Settings[Role],Settings[f(TNC)]))/1000)*XLOOKUP($N47,Settings[Role],Settings[f(WD)]))/100)*XLOOKUP($N47,Settings[Role],Settings[Trait]))/100)</f>
        <v>17261</v>
      </c>
      <c r="Q47" s="31">
        <f t="array" ref="Q47">int(int(int($K47*XLOOKUP($N47,Settings[Role],Settings[f(HMP)])*XLOOKUP($N47,Settings[Role],Settings[f(DET)]))/100)/1000)</f>
        <v>6509</v>
      </c>
      <c r="R47" s="31">
        <f t="array" ref="R47">int(int(int(int(int(int(int(int($Q47*XLOOKUP($N47,Settings[Role],Settings[f(TNC)]))/1000)
*XLOOKUP($N47,Settings[Role],Settings[f(SPD)]))/1000)
*XLOOKUP($N47,Settings[Role],Settings[f(WD)]))/100)
*XLOOKUP($N47,Settings[Role],Settings[Trait]))/100)</f>
        <v>17897</v>
      </c>
      <c r="S47" s="31">
        <f t="shared" si="1"/>
        <v>89485</v>
      </c>
      <c r="T47" s="31">
        <f t="array" ref="T47">int(int(int($L47*XLOOKUP($N47,Settings[Role],Settings[f(HMP)])*XLOOKUP($N47,Settings[Role],Settings[f(DET)]))/100)/1000)</f>
        <v>0</v>
      </c>
      <c r="U47" s="31">
        <f t="array" ref="U47">int(int(int(int(int(int($T47*XLOOKUP($N47,Settings[Role],Settings[f(TNC)]))/1000)*XLOOKUP($N47,Settings[Role],Settings[f(WD)]))/100)*XLOOKUP($N47,Settings[Role],Settings[Trait]))/100)</f>
        <v>0</v>
      </c>
      <c r="V47" s="31"/>
      <c r="W47" s="31">
        <f t="array" ref="W47">int(if($V47&lt;&gt;"",XLOOKUP($N47,Settings[Role],Settings[HP])*$V47,""))</f>
        <v>0</v>
      </c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</row>
    <row r="48" ht="22.5" customHeight="1">
      <c r="A48" s="31" t="s">
        <v>1149</v>
      </c>
      <c r="B48" s="32" t="str">
        <f>IMAGE("https://lds-img.finalfantasyxiv.com/d/c4b31e905fbbbd9b79d5afc5c5aed9a89d46f788.png")</f>
        <v/>
      </c>
      <c r="C48" s="31">
        <v>40.0</v>
      </c>
      <c r="D48" s="31" t="s">
        <v>1156</v>
      </c>
      <c r="E48" s="31">
        <v>2.5</v>
      </c>
      <c r="F48" s="31"/>
      <c r="G48" s="31"/>
      <c r="H48" s="31">
        <v>15.0</v>
      </c>
      <c r="I48" s="31"/>
      <c r="J48" s="31">
        <v>250.0</v>
      </c>
      <c r="K48" s="31">
        <v>150.0</v>
      </c>
      <c r="L48" s="31"/>
      <c r="M48" s="31"/>
      <c r="N48" s="31" t="s">
        <v>1120</v>
      </c>
      <c r="O48" s="31">
        <f t="array" ref="O48">int(int(int($J48*XLOOKUP($N48,Settings[Role],Settings[f(HMP)])*XLOOKUP($N48,Settings[Role],Settings[f(DET)]))/100)/1000)</f>
        <v>6509</v>
      </c>
      <c r="P48" s="31">
        <f t="array" ref="P48">int(int(int(int(int(int($O48*XLOOKUP($N48,Settings[Role],Settings[f(TNC)]))/1000)*XLOOKUP($N48,Settings[Role],Settings[f(WD)]))/100)*XLOOKUP($N48,Settings[Role],Settings[Trait]))/100)</f>
        <v>17261</v>
      </c>
      <c r="Q48" s="31">
        <f t="array" ref="Q48">int(int(int($K48*XLOOKUP($N48,Settings[Role],Settings[f(HMP)])*XLOOKUP($N48,Settings[Role],Settings[f(DET)]))/100)/1000)</f>
        <v>3905</v>
      </c>
      <c r="R48" s="31">
        <f t="array" ref="R48">int(int(int(int(int(int(int(int($Q48*XLOOKUP($N48,Settings[Role],Settings[f(TNC)]))/1000)
*XLOOKUP($N48,Settings[Role],Settings[f(SPD)]))/1000)
*XLOOKUP($N48,Settings[Role],Settings[f(WD)]))/100)
*XLOOKUP($N48,Settings[Role],Settings[Trait]))/100)</f>
        <v>10736</v>
      </c>
      <c r="S48" s="31">
        <f t="shared" si="1"/>
        <v>53680</v>
      </c>
      <c r="T48" s="31">
        <f t="array" ref="T48">int(int(int($L48*XLOOKUP($N48,Settings[Role],Settings[f(HMP)])*XLOOKUP($N48,Settings[Role],Settings[f(DET)]))/100)/1000)</f>
        <v>0</v>
      </c>
      <c r="U48" s="31">
        <f t="array" ref="U48">int(int(int(int(int(int($T48*XLOOKUP($N48,Settings[Role],Settings[f(TNC)]))/1000)*XLOOKUP($N48,Settings[Role],Settings[f(WD)]))/100)*XLOOKUP($N48,Settings[Role],Settings[Trait]))/100)</f>
        <v>0</v>
      </c>
      <c r="V48" s="31"/>
      <c r="W48" s="31">
        <f t="array" ref="W48">int(if($V48&lt;&gt;"",XLOOKUP($N48,Settings[Role],Settings[HP])*$V48,""))</f>
        <v>0</v>
      </c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</row>
    <row r="49" ht="22.5" customHeight="1">
      <c r="A49" s="31" t="s">
        <v>1149</v>
      </c>
      <c r="B49" s="32" t="str">
        <f>IMAGE("https://lds-img.finalfantasyxiv.com/d/8b357cc86628e66d2ff722219a541d075aa67643.png")</f>
        <v/>
      </c>
      <c r="C49" s="31">
        <v>70.0</v>
      </c>
      <c r="D49" s="31" t="s">
        <v>1157</v>
      </c>
      <c r="E49" s="31">
        <v>1.0</v>
      </c>
      <c r="F49" s="31"/>
      <c r="G49" s="31"/>
      <c r="H49" s="31"/>
      <c r="I49" s="31"/>
      <c r="J49" s="31">
        <v>400.0</v>
      </c>
      <c r="K49" s="31"/>
      <c r="L49" s="31"/>
      <c r="M49" s="31"/>
      <c r="N49" s="31" t="s">
        <v>1120</v>
      </c>
      <c r="O49" s="31">
        <f t="array" ref="O49">int(int(int($J49*XLOOKUP($N49,Settings[Role],Settings[f(HMP)])*XLOOKUP($N49,Settings[Role],Settings[f(DET)]))/100)/1000)</f>
        <v>10414</v>
      </c>
      <c r="P49" s="31">
        <f t="array" ref="P49">int(int(int(int(int(int($O49*XLOOKUP($N49,Settings[Role],Settings[f(TNC)]))/1000)*XLOOKUP($N49,Settings[Role],Settings[f(WD)]))/100)*XLOOKUP($N49,Settings[Role],Settings[Trait]))/100)</f>
        <v>27617</v>
      </c>
      <c r="Q49" s="31">
        <f t="array" ref="Q49">int(int(int($K49*XLOOKUP($N49,Settings[Role],Settings[f(HMP)])*XLOOKUP($N49,Settings[Role],Settings[f(DET)]))/100)/1000)</f>
        <v>0</v>
      </c>
      <c r="R49" s="31">
        <f t="array" ref="R49">int(int(int(int(int(int(int(int($Q49*XLOOKUP($N49,Settings[Role],Settings[f(TNC)]))/1000)
*XLOOKUP($N49,Settings[Role],Settings[f(SPD)]))/1000)
*XLOOKUP($N49,Settings[Role],Settings[f(WD)]))/100)
*XLOOKUP($N49,Settings[Role],Settings[Trait]))/100)</f>
        <v>0</v>
      </c>
      <c r="S49" s="31">
        <f t="shared" si="1"/>
        <v>0</v>
      </c>
      <c r="T49" s="31">
        <f t="array" ref="T49">int(int(int($L49*XLOOKUP($N49,Settings[Role],Settings[f(HMP)])*XLOOKUP($N49,Settings[Role],Settings[f(DET)]))/100)/1000)</f>
        <v>0</v>
      </c>
      <c r="U49" s="31">
        <f t="array" ref="U49">int(int(int(int(int(int($T49*XLOOKUP($N49,Settings[Role],Settings[f(TNC)]))/1000)*XLOOKUP($N49,Settings[Role],Settings[f(WD)]))/100)*XLOOKUP($N49,Settings[Role],Settings[Trait]))/100)</f>
        <v>0</v>
      </c>
      <c r="V49" s="31"/>
      <c r="W49" s="31">
        <f t="array" ref="W49">int(if($V49&lt;&gt;"",XLOOKUP($N49,Settings[Role],Settings[HP])*$V49,""))</f>
        <v>0</v>
      </c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</row>
    <row r="50" ht="22.5" customHeight="1">
      <c r="A50" s="31" t="s">
        <v>1149</v>
      </c>
      <c r="B50" s="32" t="str">
        <f t="shared" ref="B50:B51" si="4">IMAGE("https://lds-img.finalfantasyxiv.com/d/5a81be793ffaa939b52917ef026f6652a2227498.png")</f>
        <v/>
      </c>
      <c r="C50" s="31">
        <v>80.0</v>
      </c>
      <c r="D50" s="31" t="s">
        <v>1158</v>
      </c>
      <c r="E50" s="31">
        <v>2.5</v>
      </c>
      <c r="F50" s="31"/>
      <c r="G50" s="31"/>
      <c r="H50" s="31">
        <v>15.0</v>
      </c>
      <c r="I50" s="31">
        <v>1.2</v>
      </c>
      <c r="J50" s="31">
        <f>250*I50</f>
        <v>300</v>
      </c>
      <c r="K50" s="31">
        <f>150*I50</f>
        <v>180</v>
      </c>
      <c r="L50" s="31"/>
      <c r="M50" s="31"/>
      <c r="N50" s="31" t="s">
        <v>1120</v>
      </c>
      <c r="O50" s="31">
        <f t="array" ref="O50">int(int(int($J50*XLOOKUP($N50,Settings[Role],Settings[f(HMP)])*XLOOKUP($N50,Settings[Role],Settings[f(DET)]))/100)/1000)</f>
        <v>7811</v>
      </c>
      <c r="P50" s="31">
        <f t="array" ref="P50">int(int(int(int(int(int($O50*XLOOKUP($N50,Settings[Role],Settings[f(TNC)]))/1000)*XLOOKUP($N50,Settings[Role],Settings[f(WD)]))/100)*XLOOKUP($N50,Settings[Role],Settings[Trait]))/100)</f>
        <v>20714</v>
      </c>
      <c r="Q50" s="31">
        <f t="array" ref="Q50">int(int(int($K50*XLOOKUP($N50,Settings[Role],Settings[f(HMP)])*XLOOKUP($N50,Settings[Role],Settings[f(DET)]))/100)/1000)</f>
        <v>4686</v>
      </c>
      <c r="R50" s="31">
        <f t="array" ref="R50">int(int(int(int(int(int(int(int($Q50*XLOOKUP($N50,Settings[Role],Settings[f(TNC)]))/1000)
*XLOOKUP($N50,Settings[Role],Settings[f(SPD)]))/1000)
*XLOOKUP($N50,Settings[Role],Settings[f(WD)]))/100)
*XLOOKUP($N50,Settings[Role],Settings[Trait]))/100)</f>
        <v>12885</v>
      </c>
      <c r="S50" s="31">
        <f t="shared" si="1"/>
        <v>64425</v>
      </c>
      <c r="T50" s="31">
        <f t="array" ref="T50">int(int(int($L50*XLOOKUP($N50,Settings[Role],Settings[f(HMP)])*XLOOKUP($N50,Settings[Role],Settings[f(DET)]))/100)/1000)</f>
        <v>0</v>
      </c>
      <c r="U50" s="31">
        <f t="array" ref="U50">int(int(int(int(int(int($T50*XLOOKUP($N50,Settings[Role],Settings[f(TNC)]))/1000)*XLOOKUP($N50,Settings[Role],Settings[f(WD)]))/100)*XLOOKUP($N50,Settings[Role],Settings[Trait]))/100)</f>
        <v>0</v>
      </c>
      <c r="V50" s="31"/>
      <c r="W50" s="31">
        <f t="array" ref="W50">int(if($V50&lt;&gt;"",XLOOKUP($N50,Settings[Role],Settings[HP])*$V50,""))</f>
        <v>0</v>
      </c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</row>
    <row r="51" ht="22.5" customHeight="1">
      <c r="A51" s="31" t="s">
        <v>1149</v>
      </c>
      <c r="B51" s="32" t="str">
        <f t="shared" si="4"/>
        <v/>
      </c>
      <c r="C51" s="31">
        <v>80.0</v>
      </c>
      <c r="D51" s="31" t="s">
        <v>1159</v>
      </c>
      <c r="E51" s="31">
        <v>2.5</v>
      </c>
      <c r="F51" s="31"/>
      <c r="G51" s="31"/>
      <c r="H51" s="31">
        <v>30.0</v>
      </c>
      <c r="I51" s="31">
        <v>1.2</v>
      </c>
      <c r="J51" s="31"/>
      <c r="K51" s="31"/>
      <c r="L51" s="31">
        <f>300*1.25*I51</f>
        <v>450</v>
      </c>
      <c r="M51" s="31">
        <v>30.0</v>
      </c>
      <c r="N51" s="31" t="s">
        <v>1120</v>
      </c>
      <c r="O51" s="31">
        <f t="array" ref="O51">int(int(int($J51*XLOOKUP($N51,Settings[Role],Settings[f(HMP)])*XLOOKUP($N51,Settings[Role],Settings[f(DET)]))/100)/1000)</f>
        <v>0</v>
      </c>
      <c r="P51" s="31">
        <f t="array" ref="P51">int(int(int(int(int(int($O51*XLOOKUP($N51,Settings[Role],Settings[f(TNC)]))/1000)*XLOOKUP($N51,Settings[Role],Settings[f(WD)]))/100)*XLOOKUP($N51,Settings[Role],Settings[Trait]))/100)</f>
        <v>0</v>
      </c>
      <c r="Q51" s="31">
        <f t="array" ref="Q51">int(int(int($K51*XLOOKUP($N51,Settings[Role],Settings[f(HMP)])*XLOOKUP($N51,Settings[Role],Settings[f(DET)]))/100)/1000)</f>
        <v>0</v>
      </c>
      <c r="R51" s="31">
        <f t="array" ref="R51">int(int(int(int(int(int(int(int($Q51*XLOOKUP($N51,Settings[Role],Settings[f(TNC)]))/1000)
*XLOOKUP($N51,Settings[Role],Settings[f(SPD)]))/1000)
*XLOOKUP($N51,Settings[Role],Settings[f(WD)]))/100)
*XLOOKUP($N51,Settings[Role],Settings[Trait]))/100)</f>
        <v>0</v>
      </c>
      <c r="S51" s="31">
        <f t="shared" si="1"/>
        <v>0</v>
      </c>
      <c r="T51" s="31">
        <f t="array" ref="T51">int(int(int($L51*XLOOKUP($N51,Settings[Role],Settings[f(HMP)])*XLOOKUP($N51,Settings[Role],Settings[f(DET)]))/100)/1000)</f>
        <v>11716</v>
      </c>
      <c r="U51" s="31">
        <f t="array" ref="U51">int(int(int(int(int(int($T51*XLOOKUP($N51,Settings[Role],Settings[f(TNC)]))/1000)*XLOOKUP($N51,Settings[Role],Settings[f(WD)]))/100)*XLOOKUP($N51,Settings[Role],Settings[Trait]))/100)</f>
        <v>31070</v>
      </c>
      <c r="V51" s="31"/>
      <c r="W51" s="31">
        <f t="array" ref="W51">int(if($V51&lt;&gt;"",XLOOKUP($N51,Settings[Role],Settings[HP])*$V51,""))</f>
        <v>0</v>
      </c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</row>
    <row r="52" ht="22.5" customHeight="1">
      <c r="A52" s="31" t="s">
        <v>1149</v>
      </c>
      <c r="B52" s="32" t="str">
        <f>IMAGE("https://lds-img.finalfantasyxiv.com/d/8c6c1d8dd2025d1019e16133be9b5c8bc9871201.png")</f>
        <v/>
      </c>
      <c r="C52" s="31">
        <v>58.0</v>
      </c>
      <c r="D52" s="31" t="s">
        <v>1160</v>
      </c>
      <c r="E52" s="31">
        <v>60.0</v>
      </c>
      <c r="F52" s="31"/>
      <c r="G52" s="31">
        <v>0.9</v>
      </c>
      <c r="H52" s="31">
        <v>10.0</v>
      </c>
      <c r="I52" s="31"/>
      <c r="J52" s="31"/>
      <c r="K52" s="31"/>
      <c r="L52" s="31"/>
      <c r="M52" s="31"/>
      <c r="N52" s="31" t="s">
        <v>1120</v>
      </c>
      <c r="O52" s="31">
        <f t="array" ref="O52">int(int(int($J52*XLOOKUP($N52,Settings[Role],Settings[f(HMP)])*XLOOKUP($N52,Settings[Role],Settings[f(DET)]))/100)/1000)</f>
        <v>0</v>
      </c>
      <c r="P52" s="31">
        <f t="array" ref="P52">int(int(int(int(int(int($O52*XLOOKUP($N52,Settings[Role],Settings[f(TNC)]))/1000)*XLOOKUP($N52,Settings[Role],Settings[f(WD)]))/100)*XLOOKUP($N52,Settings[Role],Settings[Trait]))/100)</f>
        <v>0</v>
      </c>
      <c r="Q52" s="31">
        <f t="array" ref="Q52">int(int(int($K52*XLOOKUP($N52,Settings[Role],Settings[f(HMP)])*XLOOKUP($N52,Settings[Role],Settings[f(DET)]))/100)/1000)</f>
        <v>0</v>
      </c>
      <c r="R52" s="31">
        <f t="array" ref="R52">int(int(int(int(int(int(int(int($Q52*XLOOKUP($N52,Settings[Role],Settings[f(TNC)]))/1000)
*XLOOKUP($N52,Settings[Role],Settings[f(SPD)]))/1000)
*XLOOKUP($N52,Settings[Role],Settings[f(WD)]))/100)
*XLOOKUP($N52,Settings[Role],Settings[Trait]))/100)</f>
        <v>0</v>
      </c>
      <c r="S52" s="31">
        <f t="shared" si="1"/>
        <v>0</v>
      </c>
      <c r="T52" s="31">
        <f t="array" ref="T52">int(int(int($L52*XLOOKUP($N52,Settings[Role],Settings[f(HMP)])*XLOOKUP($N52,Settings[Role],Settings[f(DET)]))/100)/1000)</f>
        <v>0</v>
      </c>
      <c r="U52" s="31">
        <f t="array" ref="U52">int(int(int(int(int(int($T52*XLOOKUP($N52,Settings[Role],Settings[f(TNC)]))/1000)*XLOOKUP($N52,Settings[Role],Settings[f(WD)]))/100)*XLOOKUP($N52,Settings[Role],Settings[Trait]))/100)</f>
        <v>0</v>
      </c>
      <c r="V52" s="31"/>
      <c r="W52" s="31">
        <f t="array" ref="W52">int(if($V52&lt;&gt;"",XLOOKUP($N52,Settings[Role],Settings[HP])*$V52,""))</f>
        <v>0</v>
      </c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</row>
    <row r="53" ht="22.5" customHeight="1">
      <c r="A53" s="31" t="s">
        <v>1149</v>
      </c>
      <c r="B53" s="32" t="str">
        <f>IMAGE("https://lds-img.finalfantasyxiv.com/d/b0fa77347891a32179c547797e6deed79e9ef47a.png")</f>
        <v/>
      </c>
      <c r="C53" s="31">
        <v>60.0</v>
      </c>
      <c r="D53" s="31" t="s">
        <v>1161</v>
      </c>
      <c r="E53" s="31">
        <v>60.0</v>
      </c>
      <c r="F53" s="31"/>
      <c r="G53" s="31"/>
      <c r="H53" s="31">
        <v>15.0</v>
      </c>
      <c r="I53" s="31"/>
      <c r="J53" s="31">
        <v>200.0</v>
      </c>
      <c r="K53" s="31">
        <v>100.0</v>
      </c>
      <c r="L53" s="31"/>
      <c r="M53" s="31"/>
      <c r="N53" s="31" t="s">
        <v>1120</v>
      </c>
      <c r="O53" s="31">
        <f t="array" ref="O53">int(int(int($J53*XLOOKUP($N53,Settings[Role],Settings[f(HMP)])*XLOOKUP($N53,Settings[Role],Settings[f(DET)]))/100)/1000)</f>
        <v>5207</v>
      </c>
      <c r="P53" s="31">
        <f t="array" ref="P53">int(int(int(int(int(int($O53*XLOOKUP($N53,Settings[Role],Settings[f(TNC)]))/1000)*XLOOKUP($N53,Settings[Role],Settings[f(WD)]))/100)*XLOOKUP($N53,Settings[Role],Settings[Trait]))/100)</f>
        <v>13808</v>
      </c>
      <c r="Q53" s="31">
        <f t="array" ref="Q53">int(int(int($K53*XLOOKUP($N53,Settings[Role],Settings[f(HMP)])*XLOOKUP($N53,Settings[Role],Settings[f(DET)]))/100)/1000)</f>
        <v>2603</v>
      </c>
      <c r="R53" s="31">
        <f t="array" ref="R53">int(int(int(int(int(int(int(int($Q53*XLOOKUP($N53,Settings[Role],Settings[f(TNC)]))/1000)
*XLOOKUP($N53,Settings[Role],Settings[f(SPD)]))/1000)
*XLOOKUP($N53,Settings[Role],Settings[f(WD)]))/100)
*XLOOKUP($N53,Settings[Role],Settings[Trait]))/100)</f>
        <v>7156</v>
      </c>
      <c r="S53" s="31">
        <f t="shared" si="1"/>
        <v>35780</v>
      </c>
      <c r="T53" s="31">
        <f t="array" ref="T53">int(int(int($L53*XLOOKUP($N53,Settings[Role],Settings[f(HMP)])*XLOOKUP($N53,Settings[Role],Settings[f(DET)]))/100)/1000)</f>
        <v>0</v>
      </c>
      <c r="U53" s="31">
        <f t="array" ref="U53">int(int(int(int(int(int($T53*XLOOKUP($N53,Settings[Role],Settings[f(TNC)]))/1000)*XLOOKUP($N53,Settings[Role],Settings[f(WD)]))/100)*XLOOKUP($N53,Settings[Role],Settings[Trait]))/100)</f>
        <v>0</v>
      </c>
      <c r="V53" s="31"/>
      <c r="W53" s="31">
        <f t="array" ref="W53">int(if($V53&lt;&gt;"",XLOOKUP($N53,Settings[Role],Settings[HP])*$V53,""))</f>
        <v>0</v>
      </c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</row>
    <row r="54" ht="22.5" customHeight="1">
      <c r="A54" s="31" t="s">
        <v>1149</v>
      </c>
      <c r="B54" s="32" t="str">
        <f>IMAGE("https://lds-img.finalfantasyxiv.com/d/7012ee74c18fa7f0e6a087d778701560a5553322.png")</f>
        <v/>
      </c>
      <c r="C54" s="31">
        <v>62.0</v>
      </c>
      <c r="D54" s="31" t="s">
        <v>1162</v>
      </c>
      <c r="E54" s="31">
        <v>60.0</v>
      </c>
      <c r="F54" s="31"/>
      <c r="G54" s="31"/>
      <c r="H54" s="31">
        <v>20.0</v>
      </c>
      <c r="I54" s="31"/>
      <c r="J54" s="31">
        <v>720.0</v>
      </c>
      <c r="K54" s="31"/>
      <c r="L54" s="31"/>
      <c r="M54" s="31"/>
      <c r="N54" s="31" t="s">
        <v>1120</v>
      </c>
      <c r="O54" s="31">
        <f t="array" ref="O54">int(int(int($J54*XLOOKUP($N54,Settings[Role],Settings[f(HMP)])*XLOOKUP($N54,Settings[Role],Settings[f(DET)]))/100)/1000)</f>
        <v>18746</v>
      </c>
      <c r="P54" s="31">
        <f t="array" ref="P54">int(int(int(int(int(int($O54*XLOOKUP($N54,Settings[Role],Settings[f(TNC)]))/1000)*XLOOKUP($N54,Settings[Role],Settings[f(WD)]))/100)*XLOOKUP($N54,Settings[Role],Settings[Trait]))/100)</f>
        <v>49713</v>
      </c>
      <c r="Q54" s="31">
        <f t="array" ref="Q54">int(int(int($K54*XLOOKUP($N54,Settings[Role],Settings[f(HMP)])*XLOOKUP($N54,Settings[Role],Settings[f(DET)]))/100)/1000)</f>
        <v>0</v>
      </c>
      <c r="R54" s="31">
        <f t="array" ref="R54">int(int(int(int(int(int(int(int($Q54*XLOOKUP($N54,Settings[Role],Settings[f(TNC)]))/1000)
*XLOOKUP($N54,Settings[Role],Settings[f(SPD)]))/1000)
*XLOOKUP($N54,Settings[Role],Settings[f(WD)]))/100)
*XLOOKUP($N54,Settings[Role],Settings[Trait]))/100)</f>
        <v>0</v>
      </c>
      <c r="S54" s="31">
        <f t="shared" si="1"/>
        <v>0</v>
      </c>
      <c r="T54" s="31">
        <f t="array" ref="T54">int(int(int($L54*XLOOKUP($N54,Settings[Role],Settings[f(HMP)])*XLOOKUP($N54,Settings[Role],Settings[f(DET)]))/100)/1000)</f>
        <v>0</v>
      </c>
      <c r="U54" s="31">
        <f t="array" ref="U54">int(int(int(int(int(int($T54*XLOOKUP($N54,Settings[Role],Settings[f(TNC)]))/1000)*XLOOKUP($N54,Settings[Role],Settings[f(WD)]))/100)*XLOOKUP($N54,Settings[Role],Settings[Trait]))/100)</f>
        <v>0</v>
      </c>
      <c r="V54" s="31"/>
      <c r="W54" s="31">
        <f t="array" ref="W54">int(if($V54&lt;&gt;"",XLOOKUP($N54,Settings[Role],Settings[HP])*$V54,""))</f>
        <v>0</v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</row>
    <row r="55" ht="22.5" customHeight="1">
      <c r="A55" s="31" t="s">
        <v>1149</v>
      </c>
      <c r="B55" s="32" t="str">
        <f>IMAGE("https://lds-img.finalfantasyxiv.com/d/5ee8bc24d9a8ee766b7dda50cbcb29be15727990.png")</f>
        <v/>
      </c>
      <c r="C55" s="31">
        <v>74.0</v>
      </c>
      <c r="D55" s="31" t="s">
        <v>1163</v>
      </c>
      <c r="E55" s="31">
        <v>30.0</v>
      </c>
      <c r="F55" s="31">
        <v>2.0</v>
      </c>
      <c r="G55" s="31"/>
      <c r="H55" s="31"/>
      <c r="I55" s="31"/>
      <c r="J55" s="31">
        <v>200.0</v>
      </c>
      <c r="K55" s="31"/>
      <c r="L55" s="31">
        <f>J55*2</f>
        <v>400</v>
      </c>
      <c r="M55" s="31">
        <v>30.0</v>
      </c>
      <c r="N55" s="31" t="s">
        <v>1120</v>
      </c>
      <c r="O55" s="31">
        <f t="array" ref="O55">int(int(int($J55*XLOOKUP($N55,Settings[Role],Settings[f(HMP)])*XLOOKUP($N55,Settings[Role],Settings[f(DET)]))/100)/1000)</f>
        <v>5207</v>
      </c>
      <c r="P55" s="31">
        <f t="array" ref="P55">int(int(int(int(int(int($O55*XLOOKUP($N55,Settings[Role],Settings[f(TNC)]))/1000)*XLOOKUP($N55,Settings[Role],Settings[f(WD)]))/100)*XLOOKUP($N55,Settings[Role],Settings[Trait]))/100)</f>
        <v>13808</v>
      </c>
      <c r="Q55" s="31">
        <f t="array" ref="Q55">int(int(int($K55*XLOOKUP($N55,Settings[Role],Settings[f(HMP)])*XLOOKUP($N55,Settings[Role],Settings[f(DET)]))/100)/1000)</f>
        <v>0</v>
      </c>
      <c r="R55" s="31">
        <f t="array" ref="R55">int(int(int(int(int(int(int(int($Q55*XLOOKUP($N55,Settings[Role],Settings[f(TNC)]))/1000)
*XLOOKUP($N55,Settings[Role],Settings[f(SPD)]))/1000)
*XLOOKUP($N55,Settings[Role],Settings[f(WD)]))/100)
*XLOOKUP($N55,Settings[Role],Settings[Trait]))/100)</f>
        <v>0</v>
      </c>
      <c r="S55" s="31">
        <f t="shared" si="1"/>
        <v>0</v>
      </c>
      <c r="T55" s="31">
        <f t="array" ref="T55">int(int(int($L55*XLOOKUP($N55,Settings[Role],Settings[f(HMP)])*XLOOKUP($N55,Settings[Role],Settings[f(DET)]))/100)/1000)</f>
        <v>10414</v>
      </c>
      <c r="U55" s="31">
        <f t="array" ref="U55">int(int(int(int(int(int($T55*XLOOKUP($N55,Settings[Role],Settings[f(TNC)]))/1000)*XLOOKUP($N55,Settings[Role],Settings[f(WD)]))/100)*XLOOKUP($N55,Settings[Role],Settings[Trait]))/100)</f>
        <v>27617</v>
      </c>
      <c r="V55" s="31"/>
      <c r="W55" s="31">
        <f t="array" ref="W55">int(if($V55&lt;&gt;"",XLOOKUP($N55,Settings[Role],Settings[HP])*$V55,""))</f>
        <v>0</v>
      </c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</row>
    <row r="56" ht="22.5" customHeight="1">
      <c r="A56" s="31" t="s">
        <v>1149</v>
      </c>
      <c r="B56" s="32" t="str">
        <f>IMAGE("https://lds-img.finalfantasyxiv.com/d/4c87d9b89ed28f32863f8c094717d53ceeba741a.png")</f>
        <v/>
      </c>
      <c r="C56" s="31">
        <v>76.0</v>
      </c>
      <c r="D56" s="31" t="s">
        <v>1164</v>
      </c>
      <c r="E56" s="31">
        <v>60.0</v>
      </c>
      <c r="F56" s="31"/>
      <c r="G56" s="31"/>
      <c r="H56" s="31">
        <v>30.0</v>
      </c>
      <c r="I56" s="31"/>
      <c r="J56" s="31">
        <v>400.0</v>
      </c>
      <c r="K56" s="31"/>
      <c r="L56" s="31"/>
      <c r="M56" s="31"/>
      <c r="N56" s="31" t="s">
        <v>1120</v>
      </c>
      <c r="O56" s="31">
        <f t="array" ref="O56">int(int(int($J56*XLOOKUP($N56,Settings[Role],Settings[f(HMP)])*XLOOKUP($N56,Settings[Role],Settings[f(DET)]))/100)/1000)</f>
        <v>10414</v>
      </c>
      <c r="P56" s="31">
        <f t="array" ref="P56">int(int(int(int(int(int($O56*XLOOKUP($N56,Settings[Role],Settings[f(TNC)]))/1000)*XLOOKUP($N56,Settings[Role],Settings[f(WD)]))/100)*XLOOKUP($N56,Settings[Role],Settings[Trait]))/100)</f>
        <v>27617</v>
      </c>
      <c r="Q56" s="31">
        <f t="array" ref="Q56">int(int(int($K56*XLOOKUP($N56,Settings[Role],Settings[f(HMP)])*XLOOKUP($N56,Settings[Role],Settings[f(DET)]))/100)/1000)</f>
        <v>0</v>
      </c>
      <c r="R56" s="31">
        <f t="array" ref="R56">int(int(int(int(int(int(int(int($Q56*XLOOKUP($N56,Settings[Role],Settings[f(TNC)]))/1000)
*XLOOKUP($N56,Settings[Role],Settings[f(SPD)]))/1000)
*XLOOKUP($N56,Settings[Role],Settings[f(WD)]))/100)
*XLOOKUP($N56,Settings[Role],Settings[Trait]))/100)</f>
        <v>0</v>
      </c>
      <c r="S56" s="31">
        <f t="shared" si="1"/>
        <v>0</v>
      </c>
      <c r="T56" s="31">
        <f t="array" ref="T56">int(int(int($L56*XLOOKUP($N56,Settings[Role],Settings[f(HMP)])*XLOOKUP($N56,Settings[Role],Settings[f(DET)]))/100)/1000)</f>
        <v>0</v>
      </c>
      <c r="U56" s="31">
        <f t="array" ref="U56">int(int(int(int(int(int($T56*XLOOKUP($N56,Settings[Role],Settings[f(TNC)]))/1000)*XLOOKUP($N56,Settings[Role],Settings[f(WD)]))/100)*XLOOKUP($N56,Settings[Role],Settings[Trait]))/100)</f>
        <v>0</v>
      </c>
      <c r="V56" s="31"/>
      <c r="W56" s="31">
        <f t="array" ref="W56">int(if($V56&lt;&gt;"",XLOOKUP($N56,Settings[Role],Settings[HP])*$V56,""))</f>
        <v>0</v>
      </c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</row>
    <row r="57" ht="22.5" customHeight="1">
      <c r="A57" s="31" t="s">
        <v>1149</v>
      </c>
      <c r="B57" s="32" t="str">
        <f>IMAGE("https://lds-img.finalfantasyxiv.com/d/5a81be793ffaa939b52917ef026f6652a2227498.png")</f>
        <v/>
      </c>
      <c r="C57" s="31">
        <v>80.0</v>
      </c>
      <c r="D57" s="31" t="s">
        <v>1165</v>
      </c>
      <c r="E57" s="31">
        <v>120.0</v>
      </c>
      <c r="F57" s="31"/>
      <c r="G57" s="31"/>
      <c r="H57" s="31">
        <v>20.0</v>
      </c>
      <c r="I57" s="31">
        <v>1.2</v>
      </c>
      <c r="J57" s="31"/>
      <c r="K57" s="31"/>
      <c r="L57" s="31">
        <f t="array" ref="L57">XLOOKUP("アスペクト・ヘリオス",Skills[Action],Skills[Potency])*1.25</f>
        <v>312.5</v>
      </c>
      <c r="M57" s="31">
        <v>20.0</v>
      </c>
      <c r="N57" s="31" t="s">
        <v>1120</v>
      </c>
      <c r="O57" s="31">
        <f t="array" ref="O57">int(int(int($J57*XLOOKUP($N57,Settings[Role],Settings[f(HMP)])*XLOOKUP($N57,Settings[Role],Settings[f(DET)]))/100)/1000)</f>
        <v>0</v>
      </c>
      <c r="P57" s="31">
        <f t="array" ref="P57">int(int(int(int(int(int($O57*XLOOKUP($N57,Settings[Role],Settings[f(TNC)]))/1000)*XLOOKUP($N57,Settings[Role],Settings[f(WD)]))/100)*XLOOKUP($N57,Settings[Role],Settings[Trait]))/100)</f>
        <v>0</v>
      </c>
      <c r="Q57" s="31">
        <f t="array" ref="Q57">int(int(int($K57*XLOOKUP($N57,Settings[Role],Settings[f(HMP)])*XLOOKUP($N57,Settings[Role],Settings[f(DET)]))/100)/1000)</f>
        <v>0</v>
      </c>
      <c r="R57" s="31">
        <f t="array" ref="R57">int(int(int(int(int(int(int(int($Q57*XLOOKUP($N57,Settings[Role],Settings[f(TNC)]))/1000)
*XLOOKUP($N57,Settings[Role],Settings[f(SPD)]))/1000)
*XLOOKUP($N57,Settings[Role],Settings[f(WD)]))/100)
*XLOOKUP($N57,Settings[Role],Settings[Trait]))/100)</f>
        <v>0</v>
      </c>
      <c r="S57" s="31">
        <f t="shared" si="1"/>
        <v>0</v>
      </c>
      <c r="T57" s="31">
        <f t="array" ref="T57">int(int(int($L57*XLOOKUP($N57,Settings[Role],Settings[f(HMP)])*XLOOKUP($N57,Settings[Role],Settings[f(DET)]))/100)/1000)</f>
        <v>8136</v>
      </c>
      <c r="U57" s="31">
        <f t="array" ref="U57">int(int(int(int(int(int($T57*XLOOKUP($N57,Settings[Role],Settings[f(TNC)]))/1000)*XLOOKUP($N57,Settings[Role],Settings[f(WD)]))/100)*XLOOKUP($N57,Settings[Role],Settings[Trait]))/100)</f>
        <v>21576</v>
      </c>
      <c r="V57" s="31"/>
      <c r="W57" s="31">
        <f t="array" ref="W57">int(if($V57&lt;&gt;"",XLOOKUP($N57,Settings[Role],Settings[HP])*$V57,""))</f>
        <v>0</v>
      </c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</row>
    <row r="58" ht="22.5" customHeight="1">
      <c r="A58" s="31" t="s">
        <v>1149</v>
      </c>
      <c r="B58" s="32" t="str">
        <f>IMAGE("https://lds-img.finalfantasyxiv.com/d/69474c8e5dfbf0236360e4982bed44a0ea9b523f.png")</f>
        <v/>
      </c>
      <c r="C58" s="31">
        <v>90.0</v>
      </c>
      <c r="D58" s="31" t="s">
        <v>1166</v>
      </c>
      <c r="E58" s="31">
        <v>180.0</v>
      </c>
      <c r="F58" s="31"/>
      <c r="G58" s="31"/>
      <c r="H58" s="31">
        <v>15.0</v>
      </c>
      <c r="I58" s="31"/>
      <c r="J58" s="31"/>
      <c r="K58" s="31"/>
      <c r="L58" s="31"/>
      <c r="M58" s="31"/>
      <c r="N58" s="31" t="s">
        <v>1120</v>
      </c>
      <c r="O58" s="31">
        <f t="array" ref="O58">int(int(int($J58*XLOOKUP($N58,Settings[Role],Settings[f(HMP)])*XLOOKUP($N58,Settings[Role],Settings[f(DET)]))/100)/1000)</f>
        <v>0</v>
      </c>
      <c r="P58" s="31">
        <f t="array" ref="P58">int(int(int(int(int(int($O58*XLOOKUP($N58,Settings[Role],Settings[f(TNC)]))/1000)*XLOOKUP($N58,Settings[Role],Settings[f(WD)]))/100)*XLOOKUP($N58,Settings[Role],Settings[Trait]))/100)</f>
        <v>0</v>
      </c>
      <c r="Q58" s="31">
        <f t="array" ref="Q58">int(int(int($K58*XLOOKUP($N58,Settings[Role],Settings[f(HMP)])*XLOOKUP($N58,Settings[Role],Settings[f(DET)]))/100)/1000)</f>
        <v>0</v>
      </c>
      <c r="R58" s="31">
        <f t="array" ref="R58">int(int(int(int(int(int(int(int($Q58*XLOOKUP($N58,Settings[Role],Settings[f(TNC)]))/1000)
*XLOOKUP($N58,Settings[Role],Settings[f(SPD)]))/1000)
*XLOOKUP($N58,Settings[Role],Settings[f(WD)]))/100)
*XLOOKUP($N58,Settings[Role],Settings[Trait]))/100)</f>
        <v>0</v>
      </c>
      <c r="S58" s="31">
        <f t="shared" si="1"/>
        <v>0</v>
      </c>
      <c r="T58" s="31">
        <f t="array" ref="T58">int(int(int($L58*XLOOKUP($N58,Settings[Role],Settings[f(HMP)])*XLOOKUP($N58,Settings[Role],Settings[f(DET)]))/100)/1000)</f>
        <v>0</v>
      </c>
      <c r="U58" s="31">
        <f t="array" ref="U58">int(int(int(int(int(int($T58*XLOOKUP($N58,Settings[Role],Settings[f(TNC)]))/1000)*XLOOKUP($N58,Settings[Role],Settings[f(WD)]))/100)*XLOOKUP($N58,Settings[Role],Settings[Trait]))/100)</f>
        <v>0</v>
      </c>
      <c r="V58" s="31"/>
      <c r="W58" s="31">
        <f t="array" ref="W58">int(if($V58&lt;&gt;"",XLOOKUP($N58,Settings[Role],Settings[HP])*$V58,""))</f>
        <v>0</v>
      </c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</row>
    <row r="59" ht="22.5" customHeight="1">
      <c r="A59" s="31" t="s">
        <v>1149</v>
      </c>
      <c r="B59" s="32" t="str">
        <f>IMAGE("https://lds-img.finalfantasyxiv.com/d/20768aed61f83aeae04632231cba41ae889e187f.png")</f>
        <v/>
      </c>
      <c r="C59" s="31">
        <v>96.0</v>
      </c>
      <c r="D59" s="31" t="s">
        <v>1167</v>
      </c>
      <c r="E59" s="31">
        <v>2.5</v>
      </c>
      <c r="F59" s="31"/>
      <c r="G59" s="31"/>
      <c r="H59" s="31">
        <v>15.0</v>
      </c>
      <c r="I59" s="31"/>
      <c r="J59" s="31">
        <v>250.0</v>
      </c>
      <c r="K59" s="31">
        <v>175.0</v>
      </c>
      <c r="L59" s="31"/>
      <c r="M59" s="31"/>
      <c r="N59" s="31" t="s">
        <v>1120</v>
      </c>
      <c r="O59" s="31">
        <f t="array" ref="O59">int(int(int($J59*XLOOKUP($N59,Settings[Role],Settings[f(HMP)])*XLOOKUP($N59,Settings[Role],Settings[f(DET)]))/100)/1000)</f>
        <v>6509</v>
      </c>
      <c r="P59" s="31">
        <f t="array" ref="P59">int(int(int(int(int(int($O59*XLOOKUP($N59,Settings[Role],Settings[f(TNC)]))/1000)*XLOOKUP($N59,Settings[Role],Settings[f(WD)]))/100)*XLOOKUP($N59,Settings[Role],Settings[Trait]))/100)</f>
        <v>17261</v>
      </c>
      <c r="Q59" s="31">
        <f t="array" ref="Q59">int(int(int($K59*XLOOKUP($N59,Settings[Role],Settings[f(HMP)])*XLOOKUP($N59,Settings[Role],Settings[f(DET)]))/100)/1000)</f>
        <v>4556</v>
      </c>
      <c r="R59" s="31">
        <f t="array" ref="R59">int(int(int(int(int(int(int(int($Q59*XLOOKUP($N59,Settings[Role],Settings[f(TNC)]))/1000)
*XLOOKUP($N59,Settings[Role],Settings[f(SPD)]))/1000)
*XLOOKUP($N59,Settings[Role],Settings[f(WD)]))/100)
*XLOOKUP($N59,Settings[Role],Settings[Trait]))/100)</f>
        <v>12526</v>
      </c>
      <c r="S59" s="31">
        <f t="shared" si="1"/>
        <v>62630</v>
      </c>
      <c r="T59" s="31">
        <f t="array" ref="T59">int(int(int($L59*XLOOKUP($N59,Settings[Role],Settings[f(HMP)])*XLOOKUP($N59,Settings[Role],Settings[f(DET)]))/100)/1000)</f>
        <v>0</v>
      </c>
      <c r="U59" s="31">
        <f t="array" ref="U59">int(int(int(int(int(int($T59*XLOOKUP($N59,Settings[Role],Settings[f(TNC)]))/1000)*XLOOKUP($N59,Settings[Role],Settings[f(WD)]))/100)*XLOOKUP($N59,Settings[Role],Settings[Trait]))/100)</f>
        <v>0</v>
      </c>
      <c r="V59" s="31"/>
      <c r="W59" s="31">
        <f t="array" ref="W59">int(if($V59&lt;&gt;"",XLOOKUP($N59,Settings[Role],Settings[HP])*$V59,""))</f>
        <v>0</v>
      </c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</row>
    <row r="60" ht="22.5" customHeight="1">
      <c r="A60" s="31" t="s">
        <v>1149</v>
      </c>
      <c r="B60" s="32" t="str">
        <f t="shared" ref="B60:B61" si="5">IMAGE("https://lds-img.finalfantasyxiv.com/d/5a81be793ffaa939b52917ef026f6652a2227498.png")</f>
        <v/>
      </c>
      <c r="C60" s="31">
        <v>96.0</v>
      </c>
      <c r="D60" s="31" t="s">
        <v>1168</v>
      </c>
      <c r="E60" s="31">
        <v>2.5</v>
      </c>
      <c r="F60" s="31"/>
      <c r="G60" s="31"/>
      <c r="H60" s="31">
        <v>15.0</v>
      </c>
      <c r="I60" s="31">
        <v>1.2</v>
      </c>
      <c r="J60" s="31">
        <f>250*I60</f>
        <v>300</v>
      </c>
      <c r="K60" s="31">
        <f>175*I60</f>
        <v>210</v>
      </c>
      <c r="L60" s="31"/>
      <c r="M60" s="31"/>
      <c r="N60" s="31" t="s">
        <v>1120</v>
      </c>
      <c r="O60" s="31">
        <f t="array" ref="O60">int(int(int($J60*XLOOKUP($N60,Settings[Role],Settings[f(HMP)])*XLOOKUP($N60,Settings[Role],Settings[f(DET)]))/100)/1000)</f>
        <v>7811</v>
      </c>
      <c r="P60" s="31">
        <f t="array" ref="P60">int(int(int(int(int(int($O60*XLOOKUP($N60,Settings[Role],Settings[f(TNC)]))/1000)*XLOOKUP($N60,Settings[Role],Settings[f(WD)]))/100)*XLOOKUP($N60,Settings[Role],Settings[Trait]))/100)</f>
        <v>20714</v>
      </c>
      <c r="Q60" s="31">
        <f t="array" ref="Q60">int(int(int($K60*XLOOKUP($N60,Settings[Role],Settings[f(HMP)])*XLOOKUP($N60,Settings[Role],Settings[f(DET)]))/100)/1000)</f>
        <v>5467</v>
      </c>
      <c r="R60" s="31">
        <f t="array" ref="R60">int(int(int(int(int(int(int(int($Q60*XLOOKUP($N60,Settings[Role],Settings[f(TNC)]))/1000)
*XLOOKUP($N60,Settings[Role],Settings[f(SPD)]))/1000)
*XLOOKUP($N60,Settings[Role],Settings[f(WD)]))/100)
*XLOOKUP($N60,Settings[Role],Settings[Trait]))/100)</f>
        <v>15033</v>
      </c>
      <c r="S60" s="31">
        <f t="shared" si="1"/>
        <v>75165</v>
      </c>
      <c r="T60" s="31">
        <f t="array" ref="T60">int(int(int($L60*XLOOKUP($N60,Settings[Role],Settings[f(HMP)])*XLOOKUP($N60,Settings[Role],Settings[f(DET)]))/100)/1000)</f>
        <v>0</v>
      </c>
      <c r="U60" s="31">
        <f t="array" ref="U60">int(int(int(int(int(int($T60*XLOOKUP($N60,Settings[Role],Settings[f(TNC)]))/1000)*XLOOKUP($N60,Settings[Role],Settings[f(WD)]))/100)*XLOOKUP($N60,Settings[Role],Settings[Trait]))/100)</f>
        <v>0</v>
      </c>
      <c r="V60" s="31"/>
      <c r="W60" s="31">
        <f t="array" ref="W60">int(if($V60&lt;&gt;"",XLOOKUP($N60,Settings[Role],Settings[HP])*$V60,""))</f>
        <v>0</v>
      </c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</row>
    <row r="61" ht="22.5" customHeight="1">
      <c r="A61" s="31" t="s">
        <v>1149</v>
      </c>
      <c r="B61" s="32" t="str">
        <f t="shared" si="5"/>
        <v/>
      </c>
      <c r="C61" s="31">
        <v>96.0</v>
      </c>
      <c r="D61" s="31" t="s">
        <v>1169</v>
      </c>
      <c r="E61" s="31">
        <v>2.5</v>
      </c>
      <c r="F61" s="31"/>
      <c r="G61" s="31"/>
      <c r="H61" s="31">
        <v>30.0</v>
      </c>
      <c r="I61" s="31">
        <v>1.2</v>
      </c>
      <c r="J61" s="31"/>
      <c r="K61" s="31"/>
      <c r="L61" s="31">
        <f>300*I61*1.25</f>
        <v>450</v>
      </c>
      <c r="M61" s="31">
        <v>30.0</v>
      </c>
      <c r="N61" s="31" t="s">
        <v>1120</v>
      </c>
      <c r="O61" s="31">
        <f t="array" ref="O61">int(int(int($J61*XLOOKUP($N61,Settings[Role],Settings[f(HMP)])*XLOOKUP($N61,Settings[Role],Settings[f(DET)]))/100)/1000)</f>
        <v>0</v>
      </c>
      <c r="P61" s="31">
        <f t="array" ref="P61">int(int(int(int(int(int($O61*XLOOKUP($N61,Settings[Role],Settings[f(TNC)]))/1000)*XLOOKUP($N61,Settings[Role],Settings[f(WD)]))/100)*XLOOKUP($N61,Settings[Role],Settings[Trait]))/100)</f>
        <v>0</v>
      </c>
      <c r="Q61" s="31">
        <f t="array" ref="Q61">int(int(int($K61*XLOOKUP($N61,Settings[Role],Settings[f(HMP)])*XLOOKUP($N61,Settings[Role],Settings[f(DET)]))/100)/1000)</f>
        <v>0</v>
      </c>
      <c r="R61" s="31">
        <f t="array" ref="R61">int(int(int(int(int(int(int(int($Q61*XLOOKUP($N61,Settings[Role],Settings[f(TNC)]))/1000)
*XLOOKUP($N61,Settings[Role],Settings[f(SPD)]))/1000)
*XLOOKUP($N61,Settings[Role],Settings[f(WD)]))/100)
*XLOOKUP($N61,Settings[Role],Settings[Trait]))/100)</f>
        <v>0</v>
      </c>
      <c r="S61" s="31">
        <f t="shared" si="1"/>
        <v>0</v>
      </c>
      <c r="T61" s="31">
        <f t="array" ref="T61">int(int(int($L61*XLOOKUP($N61,Settings[Role],Settings[f(HMP)])*XLOOKUP($N61,Settings[Role],Settings[f(DET)]))/100)/1000)</f>
        <v>11716</v>
      </c>
      <c r="U61" s="31">
        <f t="array" ref="U61">int(int(int(int(int(int($T61*XLOOKUP($N61,Settings[Role],Settings[f(TNC)]))/1000)*XLOOKUP($N61,Settings[Role],Settings[f(WD)]))/100)*XLOOKUP($N61,Settings[Role],Settings[Trait]))/100)</f>
        <v>31070</v>
      </c>
      <c r="V61" s="31"/>
      <c r="W61" s="31">
        <f t="array" ref="W61">int(if($V61&lt;&gt;"",XLOOKUP($N61,Settings[Role],Settings[HP])*$V61,""))</f>
        <v>0</v>
      </c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</row>
    <row r="62" ht="22.5" customHeight="1">
      <c r="A62" s="31" t="s">
        <v>1149</v>
      </c>
      <c r="B62" s="32" t="str">
        <f>IMAGE("https://lds-img.finalfantasyxiv.com/d/9b0527d5ad6cdb263a912b463d4ff12bd13e9fea.png")</f>
        <v/>
      </c>
      <c r="C62" s="31">
        <v>100.0</v>
      </c>
      <c r="D62" s="31" t="s">
        <v>1170</v>
      </c>
      <c r="E62" s="31">
        <v>120.0</v>
      </c>
      <c r="F62" s="31"/>
      <c r="G62" s="31">
        <v>0.9</v>
      </c>
      <c r="H62" s="31">
        <v>15.0</v>
      </c>
      <c r="I62" s="31"/>
      <c r="J62" s="31"/>
      <c r="K62" s="31"/>
      <c r="L62" s="31"/>
      <c r="M62" s="31"/>
      <c r="N62" s="31" t="s">
        <v>1120</v>
      </c>
      <c r="O62" s="31">
        <f t="array" ref="O62">int(int(int($J62*XLOOKUP($N62,Settings[Role],Settings[f(HMP)])*XLOOKUP($N62,Settings[Role],Settings[f(DET)]))/100)/1000)</f>
        <v>0</v>
      </c>
      <c r="P62" s="31">
        <f t="array" ref="P62">int(int(int(int(int(int($O62*XLOOKUP($N62,Settings[Role],Settings[f(TNC)]))/1000)*XLOOKUP($N62,Settings[Role],Settings[f(WD)]))/100)*XLOOKUP($N62,Settings[Role],Settings[Trait]))/100)</f>
        <v>0</v>
      </c>
      <c r="Q62" s="31">
        <f t="array" ref="Q62">int(int(int($K62*XLOOKUP($N62,Settings[Role],Settings[f(HMP)])*XLOOKUP($N62,Settings[Role],Settings[f(DET)]))/100)/1000)</f>
        <v>0</v>
      </c>
      <c r="R62" s="31">
        <f t="array" ref="R62">int(int(int(int(int(int(int(int($Q62*XLOOKUP($N62,Settings[Role],Settings[f(TNC)]))/1000)
*XLOOKUP($N62,Settings[Role],Settings[f(SPD)]))/1000)
*XLOOKUP($N62,Settings[Role],Settings[f(WD)]))/100)
*XLOOKUP($N62,Settings[Role],Settings[Trait]))/100)</f>
        <v>0</v>
      </c>
      <c r="S62" s="31">
        <f t="shared" si="1"/>
        <v>0</v>
      </c>
      <c r="T62" s="31">
        <f t="array" ref="T62">int(int(int($L62*XLOOKUP($N62,Settings[Role],Settings[f(HMP)])*XLOOKUP($N62,Settings[Role],Settings[f(DET)]))/100)/1000)</f>
        <v>0</v>
      </c>
      <c r="U62" s="31">
        <f t="array" ref="U62">int(int(int(int(int(int($T62*XLOOKUP($N62,Settings[Role],Settings[f(TNC)]))/1000)*XLOOKUP($N62,Settings[Role],Settings[f(WD)]))/100)*XLOOKUP($N62,Settings[Role],Settings[Trait]))/100)</f>
        <v>0</v>
      </c>
      <c r="V62" s="31"/>
      <c r="W62" s="31">
        <f t="array" ref="W62">int(if($V62&lt;&gt;"",XLOOKUP($N62,Settings[Role],Settings[HP])*$V62,""))</f>
        <v>0</v>
      </c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</row>
    <row r="63" ht="22.5" customHeight="1">
      <c r="A63" s="31" t="s">
        <v>1171</v>
      </c>
      <c r="B63" s="32" t="str">
        <f>IMAGE("https://lds-img.finalfantasyxiv.com/d/7f8253801283aa010e5a6ff40dafda493f1d58a4.png")</f>
        <v/>
      </c>
      <c r="C63" s="31">
        <v>10.0</v>
      </c>
      <c r="D63" s="31" t="s">
        <v>1172</v>
      </c>
      <c r="E63" s="31">
        <v>2.5</v>
      </c>
      <c r="F63" s="31"/>
      <c r="G63" s="31"/>
      <c r="H63" s="31"/>
      <c r="I63" s="31"/>
      <c r="J63" s="31">
        <v>300.0</v>
      </c>
      <c r="K63" s="31"/>
      <c r="L63" s="31"/>
      <c r="M63" s="31"/>
      <c r="N63" s="31" t="s">
        <v>1120</v>
      </c>
      <c r="O63" s="31">
        <f t="array" ref="O63">int(int(int($J63*XLOOKUP($N63,Settings[Role],Settings[f(HMP)])*XLOOKUP($N63,Settings[Role],Settings[f(DET)]))/100)/1000)</f>
        <v>7811</v>
      </c>
      <c r="P63" s="31">
        <f t="array" ref="P63">int(int(int(int(int(int($O63*XLOOKUP($N63,Settings[Role],Settings[f(TNC)]))/1000)*XLOOKUP($N63,Settings[Role],Settings[f(WD)]))/100)*XLOOKUP($N63,Settings[Role],Settings[Trait]))/100)</f>
        <v>20714</v>
      </c>
      <c r="Q63" s="31">
        <f t="array" ref="Q63">int(int(int($K63*XLOOKUP($N63,Settings[Role],Settings[f(HMP)])*XLOOKUP($N63,Settings[Role],Settings[f(DET)]))/100)/1000)</f>
        <v>0</v>
      </c>
      <c r="R63" s="31">
        <f t="array" ref="R63">int(int(int(int(int(int(int(int($Q63*XLOOKUP($N63,Settings[Role],Settings[f(TNC)]))/1000)
*XLOOKUP($N63,Settings[Role],Settings[f(SPD)]))/1000)
*XLOOKUP($N63,Settings[Role],Settings[f(WD)]))/100)
*XLOOKUP($N63,Settings[Role],Settings[Trait]))/100)</f>
        <v>0</v>
      </c>
      <c r="S63" s="31">
        <f t="shared" si="1"/>
        <v>0</v>
      </c>
      <c r="T63" s="31">
        <f t="array" ref="T63">int(int(int($L63*XLOOKUP($N63,Settings[Role],Settings[f(HMP)])*XLOOKUP($N63,Settings[Role],Settings[f(DET)]))/100)/1000)</f>
        <v>0</v>
      </c>
      <c r="U63" s="31">
        <f t="array" ref="U63">int(int(int(int(int(int($T63*XLOOKUP($N63,Settings[Role],Settings[f(TNC)]))/1000)*XLOOKUP($N63,Settings[Role],Settings[f(WD)]))/100)*XLOOKUP($N63,Settings[Role],Settings[Trait]))/100)</f>
        <v>0</v>
      </c>
      <c r="V63" s="31"/>
      <c r="W63" s="31">
        <f t="array" ref="W63">int(if($V63&lt;&gt;"",XLOOKUP($N63,Settings[Role],Settings[HP])*$V63,""))</f>
        <v>0</v>
      </c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</row>
    <row r="64" ht="22.5" customHeight="1">
      <c r="A64" s="31" t="s">
        <v>1171</v>
      </c>
      <c r="B64" s="32" t="str">
        <f>IMAGE("https://lds-img.finalfantasyxiv.com/d/b49859cbf63de26b230527650742576590166760.png")</f>
        <v/>
      </c>
      <c r="C64" s="31">
        <v>78.0</v>
      </c>
      <c r="D64" s="31" t="s">
        <v>1173</v>
      </c>
      <c r="E64" s="31">
        <v>30.0</v>
      </c>
      <c r="F64" s="31"/>
      <c r="G64" s="31">
        <v>0.9</v>
      </c>
      <c r="H64" s="31">
        <v>15.0</v>
      </c>
      <c r="I64" s="31"/>
      <c r="J64" s="31"/>
      <c r="K64" s="31">
        <v>100.0</v>
      </c>
      <c r="L64" s="31"/>
      <c r="M64" s="31"/>
      <c r="N64" s="31" t="s">
        <v>1120</v>
      </c>
      <c r="O64" s="31">
        <f t="array" ref="O64">int(int(int($J64*XLOOKUP($N64,Settings[Role],Settings[f(HMP)])*XLOOKUP($N64,Settings[Role],Settings[f(DET)]))/100)/1000)</f>
        <v>0</v>
      </c>
      <c r="P64" s="31">
        <f t="array" ref="P64">int(int(int(int(int(int($O64*XLOOKUP($N64,Settings[Role],Settings[f(TNC)]))/1000)*XLOOKUP($N64,Settings[Role],Settings[f(WD)]))/100)*XLOOKUP($N64,Settings[Role],Settings[Trait]))/100)</f>
        <v>0</v>
      </c>
      <c r="Q64" s="31">
        <f t="array" ref="Q64">int(int(int($K64*XLOOKUP($N64,Settings[Role],Settings[f(HMP)])*XLOOKUP($N64,Settings[Role],Settings[f(DET)]))/100)/1000)</f>
        <v>2603</v>
      </c>
      <c r="R64" s="31">
        <f t="array" ref="R64">int(int(int(int(int(int(int(int($Q64*XLOOKUP($N64,Settings[Role],Settings[f(TNC)]))/1000)
*XLOOKUP($N64,Settings[Role],Settings[f(SPD)]))/1000)
*XLOOKUP($N64,Settings[Role],Settings[f(WD)]))/100)
*XLOOKUP($N64,Settings[Role],Settings[Trait]))/100)</f>
        <v>7156</v>
      </c>
      <c r="S64" s="31">
        <f t="shared" si="1"/>
        <v>35780</v>
      </c>
      <c r="T64" s="31">
        <f t="array" ref="T64">int(int(int($L64*XLOOKUP($N64,Settings[Role],Settings[f(HMP)])*XLOOKUP($N64,Settings[Role],Settings[f(DET)]))/100)/1000)</f>
        <v>0</v>
      </c>
      <c r="U64" s="31">
        <f t="array" ref="U64">int(int(int(int(int(int($T64*XLOOKUP($N64,Settings[Role],Settings[f(TNC)]))/1000)*XLOOKUP($N64,Settings[Role],Settings[f(WD)]))/100)*XLOOKUP($N64,Settings[Role],Settings[Trait]))/100)</f>
        <v>0</v>
      </c>
      <c r="V64" s="31"/>
      <c r="W64" s="31">
        <f t="array" ref="W64">int(if($V64&lt;&gt;"",XLOOKUP($N64,Settings[Role],Settings[HP])*$V64,""))</f>
        <v>0</v>
      </c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</row>
    <row r="65" ht="22.5" customHeight="1">
      <c r="A65" s="31" t="s">
        <v>1171</v>
      </c>
      <c r="B65" s="32" t="str">
        <f>IMAGE("https://lds-img.finalfantasyxiv.com/d/4ee83614031659334dda42affd3314aebcaf98f4.png")</f>
        <v/>
      </c>
      <c r="C65" s="31">
        <v>52.0</v>
      </c>
      <c r="D65" s="31" t="s">
        <v>1174</v>
      </c>
      <c r="E65" s="31">
        <v>30.0</v>
      </c>
      <c r="F65" s="31"/>
      <c r="G65" s="31"/>
      <c r="H65" s="31"/>
      <c r="I65" s="31"/>
      <c r="J65" s="31">
        <v>400.0</v>
      </c>
      <c r="K65" s="31"/>
      <c r="L65" s="31"/>
      <c r="M65" s="31"/>
      <c r="N65" s="31" t="s">
        <v>1120</v>
      </c>
      <c r="O65" s="31">
        <f t="array" ref="O65">int(int(int($J65*XLOOKUP($N65,Settings[Role],Settings[f(HMP)])*XLOOKUP($N65,Settings[Role],Settings[f(DET)]))/100)/1000)</f>
        <v>10414</v>
      </c>
      <c r="P65" s="31">
        <f t="array" ref="P65">int(int(int(int(int(int($O65*XLOOKUP($N65,Settings[Role],Settings[f(TNC)]))/1000)*XLOOKUP($N65,Settings[Role],Settings[f(WD)]))/100)*XLOOKUP($N65,Settings[Role],Settings[Trait]))/100)</f>
        <v>27617</v>
      </c>
      <c r="Q65" s="31">
        <f t="array" ref="Q65">int(int(int($K65*XLOOKUP($N65,Settings[Role],Settings[f(HMP)])*XLOOKUP($N65,Settings[Role],Settings[f(DET)]))/100)/1000)</f>
        <v>0</v>
      </c>
      <c r="R65" s="31">
        <f t="array" ref="R65">int(int(int(int(int(int(int(int($Q65*XLOOKUP($N65,Settings[Role],Settings[f(TNC)]))/1000)
*XLOOKUP($N65,Settings[Role],Settings[f(SPD)]))/1000)
*XLOOKUP($N65,Settings[Role],Settings[f(WD)]))/100)
*XLOOKUP($N65,Settings[Role],Settings[Trait]))/100)</f>
        <v>0</v>
      </c>
      <c r="S65" s="31">
        <f t="shared" si="1"/>
        <v>0</v>
      </c>
      <c r="T65" s="31">
        <f t="array" ref="T65">int(int(int($L65*XLOOKUP($N65,Settings[Role],Settings[f(HMP)])*XLOOKUP($N65,Settings[Role],Settings[f(DET)]))/100)/1000)</f>
        <v>0</v>
      </c>
      <c r="U65" s="31">
        <f t="array" ref="U65">int(int(int(int(int(int($T65*XLOOKUP($N65,Settings[Role],Settings[f(TNC)]))/1000)*XLOOKUP($N65,Settings[Role],Settings[f(WD)]))/100)*XLOOKUP($N65,Settings[Role],Settings[Trait]))/100)</f>
        <v>0</v>
      </c>
      <c r="V65" s="31"/>
      <c r="W65" s="31">
        <f t="array" ref="W65">int(if($V65&lt;&gt;"",XLOOKUP($N65,Settings[Role],Settings[HP])*$V65,""))</f>
        <v>0</v>
      </c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</row>
    <row r="66" ht="22.5" customHeight="1">
      <c r="A66" s="31" t="s">
        <v>1171</v>
      </c>
      <c r="B66" s="32" t="str">
        <f>IMAGE("https://lds-img.finalfantasyxiv.com/d/958000045b75c90c1ce059d11d2f2ed488d72a65.png")</f>
        <v/>
      </c>
      <c r="C66" s="31">
        <v>56.0</v>
      </c>
      <c r="D66" s="31" t="s">
        <v>1175</v>
      </c>
      <c r="E66" s="31">
        <v>90.0</v>
      </c>
      <c r="F66" s="31"/>
      <c r="G66" s="31"/>
      <c r="H66" s="31">
        <v>30.0</v>
      </c>
      <c r="I66" s="31">
        <v>1.5</v>
      </c>
      <c r="J66" s="31"/>
      <c r="K66" s="31"/>
      <c r="L66" s="31"/>
      <c r="M66" s="31"/>
      <c r="N66" s="31" t="s">
        <v>1120</v>
      </c>
      <c r="O66" s="31">
        <f t="array" ref="O66">int(int(int($J66*XLOOKUP($N66,Settings[Role],Settings[f(HMP)])*XLOOKUP($N66,Settings[Role],Settings[f(DET)]))/100)/1000)</f>
        <v>0</v>
      </c>
      <c r="P66" s="31">
        <f t="array" ref="P66">int(int(int(int(int(int($O66*XLOOKUP($N66,Settings[Role],Settings[f(TNC)]))/1000)*XLOOKUP($N66,Settings[Role],Settings[f(WD)]))/100)*XLOOKUP($N66,Settings[Role],Settings[Trait]))/100)</f>
        <v>0</v>
      </c>
      <c r="Q66" s="31">
        <f t="array" ref="Q66">int(int(int($K66*XLOOKUP($N66,Settings[Role],Settings[f(HMP)])*XLOOKUP($N66,Settings[Role],Settings[f(DET)]))/100)/1000)</f>
        <v>0</v>
      </c>
      <c r="R66" s="31">
        <f t="array" ref="R66">int(int(int(int(int(int(int(int($Q66*XLOOKUP($N66,Settings[Role],Settings[f(TNC)]))/1000)
*XLOOKUP($N66,Settings[Role],Settings[f(SPD)]))/1000)
*XLOOKUP($N66,Settings[Role],Settings[f(WD)]))/100)
*XLOOKUP($N66,Settings[Role],Settings[Trait]))/100)</f>
        <v>0</v>
      </c>
      <c r="S66" s="31">
        <f t="shared" si="1"/>
        <v>0</v>
      </c>
      <c r="T66" s="31">
        <f t="array" ref="T66">int(int(int($L66*XLOOKUP($N66,Settings[Role],Settings[f(HMP)])*XLOOKUP($N66,Settings[Role],Settings[f(DET)]))/100)/1000)</f>
        <v>0</v>
      </c>
      <c r="U66" s="31">
        <f t="array" ref="U66">int(int(int(int(int(int($T66*XLOOKUP($N66,Settings[Role],Settings[f(TNC)]))/1000)*XLOOKUP($N66,Settings[Role],Settings[f(WD)]))/100)*XLOOKUP($N66,Settings[Role],Settings[Trait]))/100)</f>
        <v>0</v>
      </c>
      <c r="V66" s="31"/>
      <c r="W66" s="31">
        <f t="array" ref="W66">int(if($V66&lt;&gt;"",XLOOKUP($N66,Settings[Role],Settings[HP])*$V66,""))</f>
        <v>0</v>
      </c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</row>
    <row r="67" ht="22.5" customHeight="1">
      <c r="A67" s="31" t="s">
        <v>1171</v>
      </c>
      <c r="B67" s="32" t="str">
        <f>IMAGE("https://lds-img.finalfantasyxiv.com/d/ece8fe6d911ad6497e35a13d82572d2373d2a2a4.png")</f>
        <v/>
      </c>
      <c r="C67" s="31">
        <v>98.0</v>
      </c>
      <c r="D67" s="31" t="s">
        <v>1176</v>
      </c>
      <c r="E67" s="31">
        <v>60.0</v>
      </c>
      <c r="F67" s="31"/>
      <c r="G67" s="31"/>
      <c r="H67" s="31">
        <v>15.0</v>
      </c>
      <c r="I67" s="31">
        <v>1.1</v>
      </c>
      <c r="J67" s="31"/>
      <c r="K67" s="31">
        <v>130.0</v>
      </c>
      <c r="L67" s="31"/>
      <c r="M67" s="31"/>
      <c r="N67" s="31" t="s">
        <v>1120</v>
      </c>
      <c r="O67" s="31">
        <f t="array" ref="O67">int(int(int($J67*XLOOKUP($N67,Settings[Role],Settings[f(HMP)])*XLOOKUP($N67,Settings[Role],Settings[f(DET)]))/100)/1000)</f>
        <v>0</v>
      </c>
      <c r="P67" s="31">
        <f t="array" ref="P67">int(int(int(int(int(int($O67*XLOOKUP($N67,Settings[Role],Settings[f(TNC)]))/1000)*XLOOKUP($N67,Settings[Role],Settings[f(WD)]))/100)*XLOOKUP($N67,Settings[Role],Settings[Trait]))/100)</f>
        <v>0</v>
      </c>
      <c r="Q67" s="31">
        <f t="array" ref="Q67">int(int(int($K67*XLOOKUP($N67,Settings[Role],Settings[f(HMP)])*XLOOKUP($N67,Settings[Role],Settings[f(DET)]))/100)/1000)</f>
        <v>3384</v>
      </c>
      <c r="R67" s="31">
        <f t="array" ref="R67">int(int(int(int(int(int(int(int($Q67*XLOOKUP($N67,Settings[Role],Settings[f(TNC)]))/1000)
*XLOOKUP($N67,Settings[Role],Settings[f(SPD)]))/1000)
*XLOOKUP($N67,Settings[Role],Settings[f(WD)]))/100)
*XLOOKUP($N67,Settings[Role],Settings[Trait]))/100)</f>
        <v>9305</v>
      </c>
      <c r="S67" s="31">
        <f t="shared" si="1"/>
        <v>46525</v>
      </c>
      <c r="T67" s="31">
        <f t="array" ref="T67">int(int(int($L67*XLOOKUP($N67,Settings[Role],Settings[f(HMP)])*XLOOKUP($N67,Settings[Role],Settings[f(DET)]))/100)/1000)</f>
        <v>0</v>
      </c>
      <c r="U67" s="31">
        <f t="array" ref="U67">int(int(int(int(int(int($T67*XLOOKUP($N67,Settings[Role],Settings[f(TNC)]))/1000)*XLOOKUP($N67,Settings[Role],Settings[f(WD)]))/100)*XLOOKUP($N67,Settings[Role],Settings[Trait]))/100)</f>
        <v>0</v>
      </c>
      <c r="V67" s="31"/>
      <c r="W67" s="31">
        <f t="array" ref="W67">int(if($V67&lt;&gt;"",XLOOKUP($N67,Settings[Role],Settings[HP])*$V67,""))</f>
        <v>0</v>
      </c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</row>
    <row r="68" ht="22.5" customHeight="1">
      <c r="A68" s="31" t="s">
        <v>1171</v>
      </c>
      <c r="B68" s="32" t="str">
        <f>IMAGE("https://lds-img.finalfantasyxiv.com/d/849030dfa96d3cc4cee84939ef23c0554d9a3821.png")</f>
        <v/>
      </c>
      <c r="C68" s="31">
        <v>76.0</v>
      </c>
      <c r="D68" s="31" t="s">
        <v>1177</v>
      </c>
      <c r="E68" s="31">
        <v>120.0</v>
      </c>
      <c r="F68" s="31"/>
      <c r="G68" s="31">
        <v>0.9</v>
      </c>
      <c r="H68" s="31">
        <v>20.0</v>
      </c>
      <c r="I68" s="31"/>
      <c r="J68" s="31">
        <v>300.0</v>
      </c>
      <c r="K68" s="31"/>
      <c r="L68" s="31">
        <f>J68</f>
        <v>300</v>
      </c>
      <c r="M68" s="31">
        <v>30.0</v>
      </c>
      <c r="N68" s="31" t="s">
        <v>1120</v>
      </c>
      <c r="O68" s="31">
        <f t="array" ref="O68">int(int(int($J68*XLOOKUP($N68,Settings[Role],Settings[f(HMP)])*XLOOKUP($N68,Settings[Role],Settings[f(DET)]))/100)/1000)</f>
        <v>7811</v>
      </c>
      <c r="P68" s="31">
        <f t="array" ref="P68">int(int(int(int(int(int($O68*XLOOKUP($N68,Settings[Role],Settings[f(TNC)]))/1000)*XLOOKUP($N68,Settings[Role],Settings[f(WD)]))/100)*XLOOKUP($N68,Settings[Role],Settings[Trait]))/100)</f>
        <v>20714</v>
      </c>
      <c r="Q68" s="31">
        <f t="array" ref="Q68">int(int(int($K68*XLOOKUP($N68,Settings[Role],Settings[f(HMP)])*XLOOKUP($N68,Settings[Role],Settings[f(DET)]))/100)/1000)</f>
        <v>0</v>
      </c>
      <c r="R68" s="31">
        <f t="array" ref="R68">int(int(int(int(int(int(int(int($Q68*XLOOKUP($N68,Settings[Role],Settings[f(TNC)]))/1000)
*XLOOKUP($N68,Settings[Role],Settings[f(SPD)]))/1000)
*XLOOKUP($N68,Settings[Role],Settings[f(WD)]))/100)
*XLOOKUP($N68,Settings[Role],Settings[Trait]))/100)</f>
        <v>0</v>
      </c>
      <c r="S68" s="31">
        <f t="shared" si="1"/>
        <v>0</v>
      </c>
      <c r="T68" s="31">
        <f t="array" ref="T68">int(int(int($L68*XLOOKUP($N68,Settings[Role],Settings[f(HMP)])*XLOOKUP($N68,Settings[Role],Settings[f(DET)]))/100)/1000)</f>
        <v>7811</v>
      </c>
      <c r="U68" s="31">
        <f t="array" ref="U68">int(int(int(int(int(int($T68*XLOOKUP($N68,Settings[Role],Settings[f(TNC)]))/1000)*XLOOKUP($N68,Settings[Role],Settings[f(WD)]))/100)*XLOOKUP($N68,Settings[Role],Settings[Trait]))/100)</f>
        <v>20714</v>
      </c>
      <c r="V68" s="31"/>
      <c r="W68" s="31">
        <f t="array" ref="W68">int(if($V68&lt;&gt;"",XLOOKUP($N68,Settings[Role],Settings[HP])*$V68,""))</f>
        <v>0</v>
      </c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</row>
    <row r="69" ht="22.5" customHeight="1">
      <c r="A69" s="31" t="s">
        <v>1171</v>
      </c>
      <c r="B69" s="32" t="str">
        <f t="shared" ref="B69:B70" si="6">IMAGE("https://lds-img.finalfantasyxiv.com/d/62887c572b00028c1a9a531420b9e9b545a991b6.png")</f>
        <v/>
      </c>
      <c r="C69" s="31">
        <v>80.0</v>
      </c>
      <c r="D69" s="31" t="s">
        <v>1178</v>
      </c>
      <c r="E69" s="31">
        <v>120.0</v>
      </c>
      <c r="F69" s="31">
        <v>5.0</v>
      </c>
      <c r="G69" s="31"/>
      <c r="H69" s="31"/>
      <c r="I69" s="31"/>
      <c r="J69" s="31"/>
      <c r="K69" s="31"/>
      <c r="L69" s="31">
        <v>200.0</v>
      </c>
      <c r="M69" s="31">
        <v>15.0</v>
      </c>
      <c r="N69" s="31" t="s">
        <v>1120</v>
      </c>
      <c r="O69" s="31">
        <f t="array" ref="O69">int(int(int($J69*XLOOKUP($N69,Settings[Role],Settings[f(HMP)])*XLOOKUP($N69,Settings[Role],Settings[f(DET)]))/100)/1000)</f>
        <v>0</v>
      </c>
      <c r="P69" s="31">
        <f t="array" ref="P69">int(int(int(int(int(int($O69*XLOOKUP($N69,Settings[Role],Settings[f(TNC)]))/1000)*XLOOKUP($N69,Settings[Role],Settings[f(WD)]))/100)*XLOOKUP($N69,Settings[Role],Settings[Trait]))/100)</f>
        <v>0</v>
      </c>
      <c r="Q69" s="31">
        <f t="array" ref="Q69">int(int(int($K69*XLOOKUP($N69,Settings[Role],Settings[f(HMP)])*XLOOKUP($N69,Settings[Role],Settings[f(DET)]))/100)/1000)</f>
        <v>0</v>
      </c>
      <c r="R69" s="31">
        <f t="array" ref="R69">int(int(int(int(int(int(int(int($Q69*XLOOKUP($N69,Settings[Role],Settings[f(TNC)]))/1000)
*XLOOKUP($N69,Settings[Role],Settings[f(SPD)]))/1000)
*XLOOKUP($N69,Settings[Role],Settings[f(WD)]))/100)
*XLOOKUP($N69,Settings[Role],Settings[Trait]))/100)</f>
        <v>0</v>
      </c>
      <c r="S69" s="31">
        <f t="shared" si="1"/>
        <v>0</v>
      </c>
      <c r="T69" s="31">
        <f t="array" ref="T69">int(int(int($L69*XLOOKUP($N69,Settings[Role],Settings[f(HMP)])*XLOOKUP($N69,Settings[Role],Settings[f(DET)]))/100)/1000)</f>
        <v>5207</v>
      </c>
      <c r="U69" s="31">
        <f t="array" ref="U69">int(int(int(int(int(int($T69*XLOOKUP($N69,Settings[Role],Settings[f(TNC)]))/1000)*XLOOKUP($N69,Settings[Role],Settings[f(WD)]))/100)*XLOOKUP($N69,Settings[Role],Settings[Trait]))/100)</f>
        <v>13808</v>
      </c>
      <c r="V69" s="31"/>
      <c r="W69" s="31">
        <f t="array" ref="W69">int(if($V69&lt;&gt;"",XLOOKUP($N69,Settings[Role],Settings[HP])*$V69,""))</f>
        <v>0</v>
      </c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</row>
    <row r="70" ht="22.5" customHeight="1">
      <c r="A70" s="31" t="s">
        <v>1171</v>
      </c>
      <c r="B70" s="32" t="str">
        <f t="shared" si="6"/>
        <v/>
      </c>
      <c r="C70" s="31">
        <v>80.0</v>
      </c>
      <c r="D70" s="31" t="s">
        <v>1179</v>
      </c>
      <c r="E70" s="31">
        <v>120.0</v>
      </c>
      <c r="F70" s="31">
        <v>5.0</v>
      </c>
      <c r="G70" s="31"/>
      <c r="H70" s="31"/>
      <c r="I70" s="31"/>
      <c r="J70" s="31">
        <v>100.0</v>
      </c>
      <c r="K70" s="31"/>
      <c r="L70" s="31"/>
      <c r="M70" s="31"/>
      <c r="N70" s="31" t="s">
        <v>1120</v>
      </c>
      <c r="O70" s="31">
        <f t="array" ref="O70">int(int(int($J70*XLOOKUP($N70,Settings[Role],Settings[f(HMP)])*XLOOKUP($N70,Settings[Role],Settings[f(DET)]))/100)/1000)</f>
        <v>2603</v>
      </c>
      <c r="P70" s="31">
        <f t="array" ref="P70">int(int(int(int(int(int($O70*XLOOKUP($N70,Settings[Role],Settings[f(TNC)]))/1000)*XLOOKUP($N70,Settings[Role],Settings[f(WD)]))/100)*XLOOKUP($N70,Settings[Role],Settings[Trait]))/100)</f>
        <v>6903</v>
      </c>
      <c r="Q70" s="31">
        <f t="array" ref="Q70">int(int(int($K70*XLOOKUP($N70,Settings[Role],Settings[f(HMP)])*XLOOKUP($N70,Settings[Role],Settings[f(DET)]))/100)/1000)</f>
        <v>0</v>
      </c>
      <c r="R70" s="31">
        <f t="array" ref="R70">int(int(int(int(int(int(int(int($Q70*XLOOKUP($N70,Settings[Role],Settings[f(TNC)]))/1000)
*XLOOKUP($N70,Settings[Role],Settings[f(SPD)]))/1000)
*XLOOKUP($N70,Settings[Role],Settings[f(WD)]))/100)
*XLOOKUP($N70,Settings[Role],Settings[Trait]))/100)</f>
        <v>0</v>
      </c>
      <c r="S70" s="31">
        <f t="shared" si="1"/>
        <v>0</v>
      </c>
      <c r="T70" s="31">
        <f t="array" ref="T70">int(int(int($L70*XLOOKUP($N70,Settings[Role],Settings[f(HMP)])*XLOOKUP($N70,Settings[Role],Settings[f(DET)]))/100)/1000)</f>
        <v>0</v>
      </c>
      <c r="U70" s="31">
        <f t="array" ref="U70">int(int(int(int(int(int($T70*XLOOKUP($N70,Settings[Role],Settings[f(TNC)]))/1000)*XLOOKUP($N70,Settings[Role],Settings[f(WD)]))/100)*XLOOKUP($N70,Settings[Role],Settings[Trait]))/100)</f>
        <v>0</v>
      </c>
      <c r="V70" s="31"/>
      <c r="W70" s="31">
        <f t="array" ref="W70">int(if($V70&lt;&gt;"",XLOOKUP($N70,Settings[Role],Settings[HP])*$V70,""))</f>
        <v>0</v>
      </c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</row>
    <row r="71" ht="22.5" customHeight="1">
      <c r="A71" s="31" t="s">
        <v>1171</v>
      </c>
      <c r="B71" s="32" t="str">
        <f>IMAGE("https://lds-img.finalfantasyxiv.com/d/6380ca8ba90f73c92c654a648b26bfab7aa8bd97.png")</f>
        <v/>
      </c>
      <c r="C71" s="31">
        <v>90.0</v>
      </c>
      <c r="D71" s="31" t="s">
        <v>1180</v>
      </c>
      <c r="E71" s="31">
        <v>120.0</v>
      </c>
      <c r="F71" s="31"/>
      <c r="G71" s="31"/>
      <c r="H71" s="31"/>
      <c r="I71" s="31"/>
      <c r="J71" s="31">
        <v>600.0</v>
      </c>
      <c r="K71" s="31"/>
      <c r="L71" s="31"/>
      <c r="M71" s="31"/>
      <c r="N71" s="31" t="s">
        <v>1120</v>
      </c>
      <c r="O71" s="31">
        <f t="array" ref="O71">int(int(int($J71*XLOOKUP($N71,Settings[Role],Settings[f(HMP)])*XLOOKUP($N71,Settings[Role],Settings[f(DET)]))/100)/1000)</f>
        <v>15622</v>
      </c>
      <c r="P71" s="31">
        <f t="array" ref="P71">int(int(int(int(int(int($O71*XLOOKUP($N71,Settings[Role],Settings[f(TNC)]))/1000)*XLOOKUP($N71,Settings[Role],Settings[f(WD)]))/100)*XLOOKUP($N71,Settings[Role],Settings[Trait]))/100)</f>
        <v>41428</v>
      </c>
      <c r="Q71" s="31">
        <f t="array" ref="Q71">int(int(int($K71*XLOOKUP($N71,Settings[Role],Settings[f(HMP)])*XLOOKUP($N71,Settings[Role],Settings[f(DET)]))/100)/1000)</f>
        <v>0</v>
      </c>
      <c r="R71" s="31">
        <f t="array" ref="R71">int(int(int(int(int(int(int(int($Q71*XLOOKUP($N71,Settings[Role],Settings[f(TNC)]))/1000)
*XLOOKUP($N71,Settings[Role],Settings[f(SPD)]))/1000)
*XLOOKUP($N71,Settings[Role],Settings[f(WD)]))/100)
*XLOOKUP($N71,Settings[Role],Settings[Trait]))/100)</f>
        <v>0</v>
      </c>
      <c r="S71" s="31">
        <f t="shared" si="1"/>
        <v>0</v>
      </c>
      <c r="T71" s="31">
        <f t="array" ref="T71">int(int(int($L71*XLOOKUP($N71,Settings[Role],Settings[f(HMP)])*XLOOKUP($N71,Settings[Role],Settings[f(DET)]))/100)/1000)</f>
        <v>0</v>
      </c>
      <c r="U71" s="31">
        <f t="array" ref="U71">int(int(int(int(int(int($T71*XLOOKUP($N71,Settings[Role],Settings[f(TNC)]))/1000)*XLOOKUP($N71,Settings[Role],Settings[f(WD)]))/100)*XLOOKUP($N71,Settings[Role],Settings[Trait]))/100)</f>
        <v>0</v>
      </c>
      <c r="V71" s="31"/>
      <c r="W71" s="31">
        <f t="array" ref="W71">int(if($V71&lt;&gt;"",XLOOKUP($N71,Settings[Role],Settings[HP])*$V71,""))</f>
        <v>0</v>
      </c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</row>
    <row r="72" ht="22.5" customHeight="1">
      <c r="A72" s="31" t="s">
        <v>1171</v>
      </c>
      <c r="B72" s="32" t="str">
        <f>IMAGE("https://lds-img.finalfantasyxiv.com/d/dc49cdcdfa8ec3a8d32f6e8b405ddda6971e23f0.png")</f>
        <v/>
      </c>
      <c r="C72" s="31">
        <v>96.0</v>
      </c>
      <c r="D72" s="31" t="s">
        <v>1181</v>
      </c>
      <c r="E72" s="31">
        <v>1.5</v>
      </c>
      <c r="F72" s="31"/>
      <c r="G72" s="31"/>
      <c r="H72" s="31"/>
      <c r="I72" s="31"/>
      <c r="J72" s="31">
        <v>100.0</v>
      </c>
      <c r="K72" s="31"/>
      <c r="L72" s="31">
        <f>J72*3.6</f>
        <v>360</v>
      </c>
      <c r="M72" s="31">
        <v>30.0</v>
      </c>
      <c r="N72" s="31" t="s">
        <v>1120</v>
      </c>
      <c r="O72" s="31">
        <f t="array" ref="O72">int(int(int($J72*XLOOKUP($N72,Settings[Role],Settings[f(HMP)])*XLOOKUP($N72,Settings[Role],Settings[f(DET)]))/100)/1000)</f>
        <v>2603</v>
      </c>
      <c r="P72" s="31">
        <f t="array" ref="P72">int(int(int(int(int(int($O72*XLOOKUP($N72,Settings[Role],Settings[f(TNC)]))/1000)*XLOOKUP($N72,Settings[Role],Settings[f(WD)]))/100)*XLOOKUP($N72,Settings[Role],Settings[Trait]))/100)</f>
        <v>6903</v>
      </c>
      <c r="Q72" s="31">
        <f t="array" ref="Q72">int(int(int($K72*XLOOKUP($N72,Settings[Role],Settings[f(HMP)])*XLOOKUP($N72,Settings[Role],Settings[f(DET)]))/100)/1000)</f>
        <v>0</v>
      </c>
      <c r="R72" s="31">
        <f t="array" ref="R72">int(int(int(int(int(int(int(int($Q72*XLOOKUP($N72,Settings[Role],Settings[f(TNC)]))/1000)
*XLOOKUP($N72,Settings[Role],Settings[f(SPD)]))/1000)
*XLOOKUP($N72,Settings[Role],Settings[f(WD)]))/100)
*XLOOKUP($N72,Settings[Role],Settings[Trait]))/100)</f>
        <v>0</v>
      </c>
      <c r="S72" s="31">
        <f t="shared" si="1"/>
        <v>0</v>
      </c>
      <c r="T72" s="31">
        <f t="array" ref="T72">int(int(int($L72*XLOOKUP($N72,Settings[Role],Settings[f(HMP)])*XLOOKUP($N72,Settings[Role],Settings[f(DET)]))/100)/1000)</f>
        <v>9373</v>
      </c>
      <c r="U72" s="31">
        <f t="array" ref="U72">int(int(int(int(int(int($T72*XLOOKUP($N72,Settings[Role],Settings[f(TNC)]))/1000)*XLOOKUP($N72,Settings[Role],Settings[f(WD)]))/100)*XLOOKUP($N72,Settings[Role],Settings[Trait]))/100)</f>
        <v>24856</v>
      </c>
      <c r="V72" s="31"/>
      <c r="W72" s="31">
        <f t="array" ref="W72">int(if($V72&lt;&gt;"",XLOOKUP($N72,Settings[Role],Settings[HP])*$V72,""))</f>
        <v>0</v>
      </c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</row>
    <row r="73" ht="22.5" customHeight="1">
      <c r="A73" s="31" t="s">
        <v>1171</v>
      </c>
      <c r="B73" s="32" t="str">
        <f>IMAGE("https://lds-img.finalfantasyxiv.com/d/a3dd5ff88eb7a7cce95536d48fe81665e3feb3ca.png")</f>
        <v/>
      </c>
      <c r="C73" s="31">
        <v>100.0</v>
      </c>
      <c r="D73" s="31" t="s">
        <v>1182</v>
      </c>
      <c r="E73" s="31">
        <v>180.0</v>
      </c>
      <c r="F73" s="31"/>
      <c r="G73" s="31"/>
      <c r="H73" s="31">
        <v>20.0</v>
      </c>
      <c r="I73" s="31">
        <v>1.2</v>
      </c>
      <c r="J73" s="31"/>
      <c r="K73" s="31">
        <v>150.0</v>
      </c>
      <c r="L73" s="31"/>
      <c r="M73" s="31"/>
      <c r="N73" s="31" t="s">
        <v>1120</v>
      </c>
      <c r="O73" s="31">
        <f t="array" ref="O73">int(int(int($J73*XLOOKUP($N73,Settings[Role],Settings[f(HMP)])*XLOOKUP($N73,Settings[Role],Settings[f(DET)]))/100)/1000)</f>
        <v>0</v>
      </c>
      <c r="P73" s="31">
        <f t="array" ref="P73">int(int(int(int(int(int($O73*XLOOKUP($N73,Settings[Role],Settings[f(TNC)]))/1000)*XLOOKUP($N73,Settings[Role],Settings[f(WD)]))/100)*XLOOKUP($N73,Settings[Role],Settings[Trait]))/100)</f>
        <v>0</v>
      </c>
      <c r="Q73" s="31">
        <f t="array" ref="Q73">int(int(int($K73*XLOOKUP($N73,Settings[Role],Settings[f(HMP)])*XLOOKUP($N73,Settings[Role],Settings[f(DET)]))/100)/1000)</f>
        <v>3905</v>
      </c>
      <c r="R73" s="31">
        <f t="array" ref="R73">int(int(int(int(int(int(int(int($Q73*XLOOKUP($N73,Settings[Role],Settings[f(TNC)]))/1000)
*XLOOKUP($N73,Settings[Role],Settings[f(SPD)]))/1000)
*XLOOKUP($N73,Settings[Role],Settings[f(WD)]))/100)
*XLOOKUP($N73,Settings[Role],Settings[Trait]))/100)</f>
        <v>10736</v>
      </c>
      <c r="S73" s="31">
        <f t="shared" si="1"/>
        <v>71573</v>
      </c>
      <c r="T73" s="31">
        <f t="array" ref="T73">int(int(int($L73*XLOOKUP($N73,Settings[Role],Settings[f(HMP)])*XLOOKUP($N73,Settings[Role],Settings[f(DET)]))/100)/1000)</f>
        <v>0</v>
      </c>
      <c r="U73" s="31">
        <f t="array" ref="U73">int(int(int(int(int(int($T73*XLOOKUP($N73,Settings[Role],Settings[f(TNC)]))/1000)*XLOOKUP($N73,Settings[Role],Settings[f(WD)]))/100)*XLOOKUP($N73,Settings[Role],Settings[Trait]))/100)</f>
        <v>0</v>
      </c>
      <c r="V73" s="31"/>
      <c r="W73" s="31">
        <f t="array" ref="W73">int(if($V73&lt;&gt;"",XLOOKUP($N73,Settings[Role],Settings[HP])*$V73,""))</f>
        <v>0</v>
      </c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</row>
    <row r="74" ht="22.5" customHeight="1">
      <c r="A74" s="31" t="s">
        <v>1183</v>
      </c>
      <c r="B74" s="32" t="str">
        <f>IMAGE("https://lds-img.finalfantasyxiv.com/d/84c26a86cbbb8a599e5a2441cebcd33b0064bf07.png")</f>
        <v/>
      </c>
      <c r="C74" s="31">
        <v>98.0</v>
      </c>
      <c r="D74" s="31" t="s">
        <v>1184</v>
      </c>
      <c r="E74" s="31">
        <v>90.0</v>
      </c>
      <c r="F74" s="31"/>
      <c r="G74" s="31">
        <v>0.9</v>
      </c>
      <c r="H74" s="31">
        <v>15.0</v>
      </c>
      <c r="I74" s="31"/>
      <c r="J74" s="31"/>
      <c r="K74" s="31"/>
      <c r="L74" s="31"/>
      <c r="M74" s="31"/>
      <c r="N74" s="31" t="s">
        <v>1185</v>
      </c>
      <c r="O74" s="31">
        <f t="array" ref="O74">int(int(int($J74*XLOOKUP($N74,Settings[Role],Settings[f(HMP)])*XLOOKUP($N74,Settings[Role],Settings[f(DET)]))/100)/1000)</f>
        <v>0</v>
      </c>
      <c r="P74" s="31">
        <f t="array" ref="P74">int(int(int(int(int(int($O74*XLOOKUP($N74,Settings[Role],Settings[f(TNC)]))/1000)*XLOOKUP($N74,Settings[Role],Settings[f(WD)]))/100)*XLOOKUP($N74,Settings[Role],Settings[Trait]))/100)</f>
        <v>0</v>
      </c>
      <c r="Q74" s="31">
        <f t="array" ref="Q74">int(int(int($K74*XLOOKUP($N74,Settings[Role],Settings[f(HMP)])*XLOOKUP($N74,Settings[Role],Settings[f(DET)]))/100)/1000)</f>
        <v>0</v>
      </c>
      <c r="R74" s="31">
        <f t="array" ref="R74">int(int(int(int(int(int(int(int($Q74*XLOOKUP($N74,Settings[Role],Settings[f(TNC)]))/1000)
*XLOOKUP($N74,Settings[Role],Settings[f(SPD)]))/1000)
*XLOOKUP($N74,Settings[Role],Settings[f(WD)]))/100)
*XLOOKUP($N74,Settings[Role],Settings[Trait]))/100)</f>
        <v>0</v>
      </c>
      <c r="S74" s="31">
        <f t="shared" si="1"/>
        <v>0</v>
      </c>
      <c r="T74" s="31">
        <f t="array" ref="T74">int(int(int($L74*XLOOKUP($N74,Settings[Role],Settings[f(HMP)])*XLOOKUP($N74,Settings[Role],Settings[f(DET)]))/100)/1000)</f>
        <v>0</v>
      </c>
      <c r="U74" s="31">
        <f t="array" ref="U74">int(int(int(int(int(int($T74*XLOOKUP($N74,Settings[Role],Settings[f(TNC)]))/1000)*XLOOKUP($N74,Settings[Role],Settings[f(WD)]))/100)*XLOOKUP($N74,Settings[Role],Settings[Trait]))/100)</f>
        <v>0</v>
      </c>
      <c r="V74" s="31"/>
      <c r="W74" s="31">
        <f t="array" ref="W74">int(if($V74&lt;&gt;"",XLOOKUP($N74,Settings[Role],Settings[HP])*$V74,""))</f>
        <v>0</v>
      </c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</row>
    <row r="75" ht="22.5" customHeight="1">
      <c r="A75" s="31" t="s">
        <v>1183</v>
      </c>
      <c r="B75" s="32" t="str">
        <f>IMAGE("https://lds-img.finalfantasyxiv.com/d/576fee56715e5d7a353c36daab4c4e3a5546738e.png")</f>
        <v/>
      </c>
      <c r="C75" s="31">
        <v>42.0</v>
      </c>
      <c r="D75" s="31" t="s">
        <v>1186</v>
      </c>
      <c r="E75" s="31">
        <v>90.0</v>
      </c>
      <c r="F75" s="31"/>
      <c r="G75" s="31"/>
      <c r="H75" s="31">
        <v>15.0</v>
      </c>
      <c r="I75" s="31">
        <v>1.1</v>
      </c>
      <c r="J75" s="31"/>
      <c r="K75" s="31"/>
      <c r="L75" s="31"/>
      <c r="M75" s="31"/>
      <c r="N75" s="31" t="s">
        <v>1185</v>
      </c>
      <c r="O75" s="31">
        <f t="array" ref="O75">int(int(int($J75*XLOOKUP($N75,Settings[Role],Settings[f(HMP)])*XLOOKUP($N75,Settings[Role],Settings[f(DET)]))/100)/1000)</f>
        <v>0</v>
      </c>
      <c r="P75" s="31">
        <f t="array" ref="P75">int(int(int(int(int(int($O75*XLOOKUP($N75,Settings[Role],Settings[f(TNC)]))/1000)*XLOOKUP($N75,Settings[Role],Settings[f(WD)]))/100)*XLOOKUP($N75,Settings[Role],Settings[Trait]))/100)</f>
        <v>0</v>
      </c>
      <c r="Q75" s="31">
        <f t="array" ref="Q75">int(int(int($K75*XLOOKUP($N75,Settings[Role],Settings[f(HMP)])*XLOOKUP($N75,Settings[Role],Settings[f(DET)]))/100)/1000)</f>
        <v>0</v>
      </c>
      <c r="R75" s="31">
        <f t="array" ref="R75">int(int(int(int(int(int(int(int($Q75*XLOOKUP($N75,Settings[Role],Settings[f(TNC)]))/1000)
*XLOOKUP($N75,Settings[Role],Settings[f(SPD)]))/1000)
*XLOOKUP($N75,Settings[Role],Settings[f(WD)]))/100)
*XLOOKUP($N75,Settings[Role],Settings[Trait]))/100)</f>
        <v>0</v>
      </c>
      <c r="S75" s="31">
        <f t="shared" si="1"/>
        <v>0</v>
      </c>
      <c r="T75" s="31">
        <f t="array" ref="T75">int(int(int($L75*XLOOKUP($N75,Settings[Role],Settings[f(HMP)])*XLOOKUP($N75,Settings[Role],Settings[f(DET)]))/100)/1000)</f>
        <v>0</v>
      </c>
      <c r="U75" s="31">
        <f t="array" ref="U75">int(int(int(int(int(int($T75*XLOOKUP($N75,Settings[Role],Settings[f(TNC)]))/1000)*XLOOKUP($N75,Settings[Role],Settings[f(WD)]))/100)*XLOOKUP($N75,Settings[Role],Settings[Trait]))/100)</f>
        <v>0</v>
      </c>
      <c r="V75" s="31"/>
      <c r="W75" s="31">
        <f t="array" ref="W75">int(if($V75&lt;&gt;"",XLOOKUP($N75,Settings[Role],Settings[HP])*$V75,""))</f>
        <v>0</v>
      </c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</row>
    <row r="76" ht="22.5" customHeight="1">
      <c r="A76" s="31" t="s">
        <v>1187</v>
      </c>
      <c r="B76" s="32" t="str">
        <f>IMAGE("https://lds-img.finalfantasyxiv.com/d/9977fdbbf70443f9f31f4868cba97138fbec5460.png")</f>
        <v/>
      </c>
      <c r="C76" s="31">
        <v>84.0</v>
      </c>
      <c r="D76" s="31" t="s">
        <v>1188</v>
      </c>
      <c r="E76" s="31">
        <v>30.0</v>
      </c>
      <c r="F76" s="31"/>
      <c r="G76" s="31"/>
      <c r="H76" s="31">
        <v>15.0</v>
      </c>
      <c r="I76" s="31"/>
      <c r="J76" s="31"/>
      <c r="K76" s="31">
        <v>50.0</v>
      </c>
      <c r="L76" s="31"/>
      <c r="M76" s="31"/>
      <c r="N76" s="31" t="s">
        <v>1185</v>
      </c>
      <c r="O76" s="31">
        <f t="array" ref="O76">int(int(int($J76*XLOOKUP($N76,Settings[Role],Settings[f(HMP)])*XLOOKUP($N76,Settings[Role],Settings[f(DET)]))/100)/1000)</f>
        <v>0</v>
      </c>
      <c r="P76" s="31">
        <f t="array" ref="P76">int(int(int(int(int(int($O76*XLOOKUP($N76,Settings[Role],Settings[f(TNC)]))/1000)*XLOOKUP($N76,Settings[Role],Settings[f(WD)]))/100)*XLOOKUP($N76,Settings[Role],Settings[Trait]))/100)</f>
        <v>0</v>
      </c>
      <c r="Q76" s="31">
        <f t="array" ref="Q76">int(int(int($K76*XLOOKUP($N76,Settings[Role],Settings[f(HMP)])*XLOOKUP($N76,Settings[Role],Settings[f(DET)]))/100)/1000)</f>
        <v>1282</v>
      </c>
      <c r="R76" s="31">
        <f t="array" ref="R76">int(int(int(int(int(int(int(int($Q76*XLOOKUP($N76,Settings[Role],Settings[f(TNC)]))/1000)
*XLOOKUP($N76,Settings[Role],Settings[f(SPD)]))/1000)
*XLOOKUP($N76,Settings[Role],Settings[f(WD)]))/100)
*XLOOKUP($N76,Settings[Role],Settings[Trait]))/100)</f>
        <v>2548</v>
      </c>
      <c r="S76" s="31">
        <f t="shared" si="1"/>
        <v>12740</v>
      </c>
      <c r="T76" s="31">
        <f t="array" ref="T76">int(int(int($L76*XLOOKUP($N76,Settings[Role],Settings[f(HMP)])*XLOOKUP($N76,Settings[Role],Settings[f(DET)]))/100)/1000)</f>
        <v>0</v>
      </c>
      <c r="U76" s="31">
        <f t="array" ref="U76">int(int(int(int(int(int($T76*XLOOKUP($N76,Settings[Role],Settings[f(TNC)]))/1000)*XLOOKUP($N76,Settings[Role],Settings[f(WD)]))/100)*XLOOKUP($N76,Settings[Role],Settings[Trait]))/100)</f>
        <v>0</v>
      </c>
      <c r="V76" s="31"/>
      <c r="W76" s="31">
        <f t="array" ref="W76">int(if($V76&lt;&gt;"",XLOOKUP($N76,Settings[Role],Settings[HP])*$V76,""))</f>
        <v>0</v>
      </c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 ht="22.5" customHeight="1">
      <c r="A77" s="31" t="s">
        <v>1189</v>
      </c>
      <c r="B77" s="32" t="str">
        <f>IMAGE("https://lds-img.finalfantasyxiv.com/d/6618d7a1a2770ce51edecf1c26a2937b5fc95963.png")</f>
        <v/>
      </c>
      <c r="C77" s="31">
        <v>98.0</v>
      </c>
      <c r="D77" s="31" t="s">
        <v>1190</v>
      </c>
      <c r="E77" s="31">
        <v>90.0</v>
      </c>
      <c r="F77" s="31"/>
      <c r="G77" s="31">
        <v>0.85</v>
      </c>
      <c r="H77" s="31">
        <v>15.0</v>
      </c>
      <c r="I77" s="31"/>
      <c r="J77" s="31"/>
      <c r="K77" s="31"/>
      <c r="L77" s="31"/>
      <c r="M77" s="31"/>
      <c r="N77" s="31" t="s">
        <v>1185</v>
      </c>
      <c r="O77" s="31">
        <f t="array" ref="O77">int(int(int($J77*XLOOKUP($N77,Settings[Role],Settings[f(HMP)])*XLOOKUP($N77,Settings[Role],Settings[f(DET)]))/100)/1000)</f>
        <v>0</v>
      </c>
      <c r="P77" s="31">
        <f t="array" ref="P77">int(int(int(int(int(int($O77*XLOOKUP($N77,Settings[Role],Settings[f(TNC)]))/1000)*XLOOKUP($N77,Settings[Role],Settings[f(WD)]))/100)*XLOOKUP($N77,Settings[Role],Settings[Trait]))/100)</f>
        <v>0</v>
      </c>
      <c r="Q77" s="31">
        <f t="array" ref="Q77">int(int(int($K77*XLOOKUP($N77,Settings[Role],Settings[f(HMP)])*XLOOKUP($N77,Settings[Role],Settings[f(DET)]))/100)/1000)</f>
        <v>0</v>
      </c>
      <c r="R77" s="31">
        <f t="array" ref="R77">int(int(int(int(int(int(int(int($Q77*XLOOKUP($N77,Settings[Role],Settings[f(TNC)]))/1000)
*XLOOKUP($N77,Settings[Role],Settings[f(SPD)]))/1000)
*XLOOKUP($N77,Settings[Role],Settings[f(WD)]))/100)
*XLOOKUP($N77,Settings[Role],Settings[Trait]))/100)</f>
        <v>0</v>
      </c>
      <c r="S77" s="31">
        <f t="shared" si="1"/>
        <v>0</v>
      </c>
      <c r="T77" s="31">
        <f t="array" ref="T77">int(int(int($L77*XLOOKUP($N77,Settings[Role],Settings[f(HMP)])*XLOOKUP($N77,Settings[Role],Settings[f(DET)]))/100)/1000)</f>
        <v>0</v>
      </c>
      <c r="U77" s="31">
        <f t="array" ref="U77">int(int(int(int(int(int($T77*XLOOKUP($N77,Settings[Role],Settings[f(TNC)]))/1000)*XLOOKUP($N77,Settings[Role],Settings[f(WD)]))/100)*XLOOKUP($N77,Settings[Role],Settings[Trait]))/100)</f>
        <v>0</v>
      </c>
      <c r="V77" s="31"/>
      <c r="W77" s="31">
        <f t="array" ref="W77">int(if($V77&lt;&gt;"",XLOOKUP($N77,Settings[Role],Settings[HP])*$V77,""))</f>
        <v>0</v>
      </c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</row>
    <row r="78" ht="22.5" customHeight="1">
      <c r="A78" s="31" t="s">
        <v>1191</v>
      </c>
      <c r="B78" s="32" t="str">
        <f>IMAGE("https://lds-img.finalfantasyxiv.com/d/570cc0bbf4a1478e35f52075640fd9ec6c7ed0f6.png")</f>
        <v/>
      </c>
      <c r="C78" s="31">
        <v>98.0</v>
      </c>
      <c r="D78" s="31" t="s">
        <v>1192</v>
      </c>
      <c r="E78" s="31">
        <v>90.0</v>
      </c>
      <c r="F78" s="31"/>
      <c r="G78" s="31">
        <v>0.85</v>
      </c>
      <c r="H78" s="31">
        <v>15.0</v>
      </c>
      <c r="I78" s="31"/>
      <c r="J78" s="31"/>
      <c r="K78" s="31"/>
      <c r="L78" s="31"/>
      <c r="M78" s="31"/>
      <c r="N78" s="31" t="s">
        <v>1185</v>
      </c>
      <c r="O78" s="31">
        <f t="array" ref="O78">int(int(int($J78*XLOOKUP($N78,Settings[Role],Settings[f(HMP)])*XLOOKUP($N78,Settings[Role],Settings[f(DET)]))/100)/1000)</f>
        <v>0</v>
      </c>
      <c r="P78" s="31">
        <f t="array" ref="P78">int(int(int(int(int(int($O78*XLOOKUP($N78,Settings[Role],Settings[f(TNC)]))/1000)*XLOOKUP($N78,Settings[Role],Settings[f(WD)]))/100)*XLOOKUP($N78,Settings[Role],Settings[Trait]))/100)</f>
        <v>0</v>
      </c>
      <c r="Q78" s="31">
        <f t="array" ref="Q78">int(int(int($K78*XLOOKUP($N78,Settings[Role],Settings[f(HMP)])*XLOOKUP($N78,Settings[Role],Settings[f(DET)]))/100)/1000)</f>
        <v>0</v>
      </c>
      <c r="R78" s="31">
        <f t="array" ref="R78">int(int(int(int(int(int(int(int($Q78*XLOOKUP($N78,Settings[Role],Settings[f(TNC)]))/1000)
*XLOOKUP($N78,Settings[Role],Settings[f(SPD)]))/1000)
*XLOOKUP($N78,Settings[Role],Settings[f(WD)]))/100)
*XLOOKUP($N78,Settings[Role],Settings[Trait]))/100)</f>
        <v>0</v>
      </c>
      <c r="S78" s="31">
        <f t="shared" si="1"/>
        <v>0</v>
      </c>
      <c r="T78" s="31">
        <f t="array" ref="T78">int(int(int($L78*XLOOKUP($N78,Settings[Role],Settings[f(HMP)])*XLOOKUP($N78,Settings[Role],Settings[f(DET)]))/100)/1000)</f>
        <v>0</v>
      </c>
      <c r="U78" s="31">
        <f t="array" ref="U78">int(int(int(int(int(int($T78*XLOOKUP($N78,Settings[Role],Settings[f(TNC)]))/1000)*XLOOKUP($N78,Settings[Role],Settings[f(WD)]))/100)*XLOOKUP($N78,Settings[Role],Settings[Trait]))/100)</f>
        <v>0</v>
      </c>
      <c r="V78" s="31"/>
      <c r="W78" s="31">
        <f t="array" ref="W78">int(if($V78&lt;&gt;"",XLOOKUP($N78,Settings[Role],Settings[HP])*$V78,""))</f>
        <v>0</v>
      </c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</row>
    <row r="79" ht="22.5" customHeight="1">
      <c r="A79" s="31" t="s">
        <v>1193</v>
      </c>
      <c r="B79" s="32" t="str">
        <f>IMAGE("https://lds-img.finalfantasyxiv.com/d/f9692ff39ee50c5901429aaca48c066b8952732a.png")</f>
        <v/>
      </c>
      <c r="C79" s="31">
        <v>98.0</v>
      </c>
      <c r="D79" s="31" t="s">
        <v>1194</v>
      </c>
      <c r="E79" s="31">
        <v>90.0</v>
      </c>
      <c r="F79" s="31"/>
      <c r="G79" s="31">
        <v>0.85</v>
      </c>
      <c r="H79" s="31">
        <v>15.0</v>
      </c>
      <c r="I79" s="31"/>
      <c r="J79" s="31"/>
      <c r="K79" s="31"/>
      <c r="L79" s="31"/>
      <c r="M79" s="31"/>
      <c r="N79" s="31" t="s">
        <v>1185</v>
      </c>
      <c r="O79" s="31">
        <f t="array" ref="O79">int(int(int($J79*XLOOKUP($N79,Settings[Role],Settings[f(HMP)])*XLOOKUP($N79,Settings[Role],Settings[f(DET)]))/100)/1000)</f>
        <v>0</v>
      </c>
      <c r="P79" s="31">
        <f t="array" ref="P79">int(int(int(int(int(int($O79*XLOOKUP($N79,Settings[Role],Settings[f(TNC)]))/1000)*XLOOKUP($N79,Settings[Role],Settings[f(WD)]))/100)*XLOOKUP($N79,Settings[Role],Settings[Trait]))/100)</f>
        <v>0</v>
      </c>
      <c r="Q79" s="31">
        <f t="array" ref="Q79">int(int(int($K79*XLOOKUP($N79,Settings[Role],Settings[f(HMP)])*XLOOKUP($N79,Settings[Role],Settings[f(DET)]))/100)/1000)</f>
        <v>0</v>
      </c>
      <c r="R79" s="31">
        <f t="array" ref="R79">int(int(int(int(int(int(int(int($Q79*XLOOKUP($N79,Settings[Role],Settings[f(TNC)]))/1000)
*XLOOKUP($N79,Settings[Role],Settings[f(SPD)]))/1000)
*XLOOKUP($N79,Settings[Role],Settings[f(WD)]))/100)
*XLOOKUP($N79,Settings[Role],Settings[Trait]))/100)</f>
        <v>0</v>
      </c>
      <c r="S79" s="31">
        <f t="shared" si="1"/>
        <v>0</v>
      </c>
      <c r="T79" s="31">
        <f t="array" ref="T79">int(int(int($L79*XLOOKUP($N79,Settings[Role],Settings[f(HMP)])*XLOOKUP($N79,Settings[Role],Settings[f(DET)]))/100)/1000)</f>
        <v>0</v>
      </c>
      <c r="U79" s="31">
        <f t="array" ref="U79">int(int(int(int(int(int($T79*XLOOKUP($N79,Settings[Role],Settings[f(TNC)]))/1000)*XLOOKUP($N79,Settings[Role],Settings[f(WD)]))/100)*XLOOKUP($N79,Settings[Role],Settings[Trait]))/100)</f>
        <v>0</v>
      </c>
      <c r="V79" s="31"/>
      <c r="W79" s="31">
        <f t="array" ref="W79">int(if($V79&lt;&gt;"",XLOOKUP($N79,Settings[Role],Settings[HP])*$V79,""))</f>
        <v>0</v>
      </c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</row>
    <row r="80" ht="22.5" customHeight="1">
      <c r="A80" s="31" t="s">
        <v>1189</v>
      </c>
      <c r="B80" s="32" t="str">
        <f>IMAGE("https://lds-img.finalfantasyxiv.com/d/03c3c2cabca1caf35d1c9a6ef8d0fe150e03762c.png")</f>
        <v/>
      </c>
      <c r="C80" s="31">
        <v>66.0</v>
      </c>
      <c r="D80" s="31" t="s">
        <v>1195</v>
      </c>
      <c r="E80" s="31">
        <v>120.0</v>
      </c>
      <c r="F80" s="31"/>
      <c r="G80" s="31"/>
      <c r="H80" s="31">
        <v>15.0</v>
      </c>
      <c r="I80" s="31">
        <v>1.15</v>
      </c>
      <c r="J80" s="31"/>
      <c r="K80" s="31"/>
      <c r="L80" s="31"/>
      <c r="M80" s="31"/>
      <c r="N80" s="31" t="s">
        <v>1185</v>
      </c>
      <c r="O80" s="31">
        <f t="array" ref="O80">int(int(int($J80*XLOOKUP($N80,Settings[Role],Settings[f(HMP)])*XLOOKUP($N80,Settings[Role],Settings[f(DET)]))/100)/1000)</f>
        <v>0</v>
      </c>
      <c r="P80" s="31">
        <f t="array" ref="P80">int(int(int(int(int(int($O80*XLOOKUP($N80,Settings[Role],Settings[f(TNC)]))/1000)*XLOOKUP($N80,Settings[Role],Settings[f(WD)]))/100)*XLOOKUP($N80,Settings[Role],Settings[Trait]))/100)</f>
        <v>0</v>
      </c>
      <c r="Q80" s="31">
        <f t="array" ref="Q80">int(int(int($K80*XLOOKUP($N80,Settings[Role],Settings[f(HMP)])*XLOOKUP($N80,Settings[Role],Settings[f(DET)]))/100)/1000)</f>
        <v>0</v>
      </c>
      <c r="R80" s="31">
        <f t="array" ref="R80">int(int(int(int(int(int(int(int($Q80*XLOOKUP($N80,Settings[Role],Settings[f(TNC)]))/1000)
*XLOOKUP($N80,Settings[Role],Settings[f(SPD)]))/1000)
*XLOOKUP($N80,Settings[Role],Settings[f(WD)]))/100)
*XLOOKUP($N80,Settings[Role],Settings[Trait]))/100)</f>
        <v>0</v>
      </c>
      <c r="S80" s="31">
        <f t="shared" si="1"/>
        <v>0</v>
      </c>
      <c r="T80" s="31">
        <f t="array" ref="T80">int(int(int($L80*XLOOKUP($N80,Settings[Role],Settings[f(HMP)])*XLOOKUP($N80,Settings[Role],Settings[f(DET)]))/100)/1000)</f>
        <v>0</v>
      </c>
      <c r="U80" s="31">
        <f t="array" ref="U80">int(int(int(int(int(int($T80*XLOOKUP($N80,Settings[Role],Settings[f(TNC)]))/1000)*XLOOKUP($N80,Settings[Role],Settings[f(WD)]))/100)*XLOOKUP($N80,Settings[Role],Settings[Trait]))/100)</f>
        <v>0</v>
      </c>
      <c r="V80" s="31"/>
      <c r="W80" s="31">
        <f t="array" ref="W80">int(if($V80&lt;&gt;"",XLOOKUP($N80,Settings[Role],Settings[HP])*$V80,""))</f>
        <v>0</v>
      </c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</row>
    <row r="81" ht="22.5" customHeight="1">
      <c r="A81" s="31" t="s">
        <v>1191</v>
      </c>
      <c r="B81" s="32" t="str">
        <f>IMAGE("https://lds-img.finalfantasyxiv.com/d/94eaa7aadfa4d857c00551af690f42bb5d7a4a94.png")</f>
        <v/>
      </c>
      <c r="C81" s="31">
        <v>62.0</v>
      </c>
      <c r="D81" s="31" t="s">
        <v>1196</v>
      </c>
      <c r="E81" s="31">
        <v>120.0</v>
      </c>
      <c r="F81" s="31"/>
      <c r="G81" s="31">
        <v>0.9</v>
      </c>
      <c r="H81" s="31">
        <v>10.0</v>
      </c>
      <c r="I81" s="31"/>
      <c r="J81" s="31"/>
      <c r="K81" s="31"/>
      <c r="L81" s="31"/>
      <c r="M81" s="31"/>
      <c r="N81" s="31" t="s">
        <v>1185</v>
      </c>
      <c r="O81" s="31">
        <f t="array" ref="O81">int(int(int($J81*XLOOKUP($N81,Settings[Role],Settings[f(HMP)])*XLOOKUP($N81,Settings[Role],Settings[f(DET)]))/100)/1000)</f>
        <v>0</v>
      </c>
      <c r="P81" s="31">
        <f t="array" ref="P81">int(int(int(int(int(int($O81*XLOOKUP($N81,Settings[Role],Settings[f(TNC)]))/1000)*XLOOKUP($N81,Settings[Role],Settings[f(WD)]))/100)*XLOOKUP($N81,Settings[Role],Settings[Trait]))/100)</f>
        <v>0</v>
      </c>
      <c r="Q81" s="31">
        <f t="array" ref="Q81">int(int(int($K81*XLOOKUP($N81,Settings[Role],Settings[f(HMP)])*XLOOKUP($N81,Settings[Role],Settings[f(DET)]))/100)/1000)</f>
        <v>0</v>
      </c>
      <c r="R81" s="31">
        <f t="array" ref="R81">int(int(int(int(int(int(int(int($Q81*XLOOKUP($N81,Settings[Role],Settings[f(TNC)]))/1000)
*XLOOKUP($N81,Settings[Role],Settings[f(SPD)]))/1000)
*XLOOKUP($N81,Settings[Role],Settings[f(WD)]))/100)
*XLOOKUP($N81,Settings[Role],Settings[Trait]))/100)</f>
        <v>0</v>
      </c>
      <c r="S81" s="31">
        <f t="shared" si="1"/>
        <v>0</v>
      </c>
      <c r="T81" s="31">
        <f t="array" ref="T81">int(int(int($L81*XLOOKUP($N81,Settings[Role],Settings[f(HMP)])*XLOOKUP($N81,Settings[Role],Settings[f(DET)]))/100)/1000)</f>
        <v>0</v>
      </c>
      <c r="U81" s="31">
        <f t="array" ref="U81">int(int(int(int(int(int($T81*XLOOKUP($N81,Settings[Role],Settings[f(TNC)]))/1000)*XLOOKUP($N81,Settings[Role],Settings[f(WD)]))/100)*XLOOKUP($N81,Settings[Role],Settings[Trait]))/100)</f>
        <v>0</v>
      </c>
      <c r="V81" s="31"/>
      <c r="W81" s="31">
        <f t="array" ref="W81">int(if($V81&lt;&gt;"",XLOOKUP($N81,Settings[Role],Settings[HP])*$V81,""))</f>
        <v>0</v>
      </c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</row>
    <row r="82" ht="22.5" customHeight="1">
      <c r="A82" s="31" t="s">
        <v>1193</v>
      </c>
      <c r="B82" s="32" t="str">
        <f t="shared" ref="B82:B83" si="7">IMAGE("https://lds-img.finalfantasyxiv.com/d/30a793f0a1bae7d643449bd69b63722b8bbf1b3a.png")</f>
        <v/>
      </c>
      <c r="C82" s="31">
        <v>52.0</v>
      </c>
      <c r="D82" s="31" t="s">
        <v>1197</v>
      </c>
      <c r="E82" s="31">
        <v>60.0</v>
      </c>
      <c r="F82" s="31"/>
      <c r="G82" s="31"/>
      <c r="H82" s="31"/>
      <c r="I82" s="31"/>
      <c r="J82" s="31">
        <v>300.0</v>
      </c>
      <c r="K82" s="31"/>
      <c r="L82" s="31"/>
      <c r="M82" s="31"/>
      <c r="N82" s="31" t="s">
        <v>1185</v>
      </c>
      <c r="O82" s="31">
        <f t="array" ref="O82">int(int(int($J82*XLOOKUP($N82,Settings[Role],Settings[f(HMP)])*XLOOKUP($N82,Settings[Role],Settings[f(DET)]))/100)/1000)</f>
        <v>7697</v>
      </c>
      <c r="P82" s="31">
        <f t="array" ref="P82">int(int(int(int(int(int($O82*XLOOKUP($N82,Settings[Role],Settings[f(TNC)]))/1000)*XLOOKUP($N82,Settings[Role],Settings[f(WD)]))/100)*XLOOKUP($N82,Settings[Role],Settings[Trait]))/100)</f>
        <v>15224</v>
      </c>
      <c r="Q82" s="31">
        <f t="array" ref="Q82">int(int(int($K82*XLOOKUP($N82,Settings[Role],Settings[f(HMP)])*XLOOKUP($N82,Settings[Role],Settings[f(DET)]))/100)/1000)</f>
        <v>0</v>
      </c>
      <c r="R82" s="31">
        <f t="array" ref="R82">int(int(int(int(int(int(int(int($Q82*XLOOKUP($N82,Settings[Role],Settings[f(TNC)]))/1000)
*XLOOKUP($N82,Settings[Role],Settings[f(SPD)]))/1000)
*XLOOKUP($N82,Settings[Role],Settings[f(WD)]))/100)
*XLOOKUP($N82,Settings[Role],Settings[Trait]))/100)</f>
        <v>0</v>
      </c>
      <c r="S82" s="31">
        <f t="shared" si="1"/>
        <v>0</v>
      </c>
      <c r="T82" s="31">
        <f t="array" ref="T82">int(int(int($L82*XLOOKUP($N82,Settings[Role],Settings[f(HMP)])*XLOOKUP($N82,Settings[Role],Settings[f(DET)]))/100)/1000)</f>
        <v>0</v>
      </c>
      <c r="U82" s="31">
        <f t="array" ref="U82">int(int(int(int(int(int($T82*XLOOKUP($N82,Settings[Role],Settings[f(TNC)]))/1000)*XLOOKUP($N82,Settings[Role],Settings[f(WD)]))/100)*XLOOKUP($N82,Settings[Role],Settings[Trait]))/100)</f>
        <v>0</v>
      </c>
      <c r="V82" s="31"/>
      <c r="W82" s="31">
        <f t="array" ref="W82">int(if($V82&lt;&gt;"",XLOOKUP($N82,Settings[Role],Settings[HP])*$V82,""))</f>
        <v>0</v>
      </c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</row>
    <row r="83" ht="22.5" customHeight="1">
      <c r="A83" s="31" t="s">
        <v>1193</v>
      </c>
      <c r="B83" s="32" t="str">
        <f t="shared" si="7"/>
        <v/>
      </c>
      <c r="C83" s="31">
        <v>52.0</v>
      </c>
      <c r="D83" s="31" t="s">
        <v>1198</v>
      </c>
      <c r="E83" s="31">
        <v>60.0</v>
      </c>
      <c r="F83" s="31"/>
      <c r="G83" s="31"/>
      <c r="H83" s="31"/>
      <c r="I83" s="31"/>
      <c r="J83" s="31">
        <v>600.0</v>
      </c>
      <c r="K83" s="31"/>
      <c r="L83" s="31"/>
      <c r="M83" s="31"/>
      <c r="N83" s="31" t="s">
        <v>1185</v>
      </c>
      <c r="O83" s="31">
        <f t="array" ref="O83">int(int(int($J83*XLOOKUP($N83,Settings[Role],Settings[f(HMP)])*XLOOKUP($N83,Settings[Role],Settings[f(DET)]))/100)/1000)</f>
        <v>15395</v>
      </c>
      <c r="P83" s="31">
        <f t="array" ref="P83">int(int(int(int(int(int($O83*XLOOKUP($N83,Settings[Role],Settings[f(TNC)]))/1000)*XLOOKUP($N83,Settings[Role],Settings[f(WD)]))/100)*XLOOKUP($N83,Settings[Role],Settings[Trait]))/100)</f>
        <v>30450</v>
      </c>
      <c r="Q83" s="31">
        <f t="array" ref="Q83">int(int(int($K83*XLOOKUP($N83,Settings[Role],Settings[f(HMP)])*XLOOKUP($N83,Settings[Role],Settings[f(DET)]))/100)/1000)</f>
        <v>0</v>
      </c>
      <c r="R83" s="31">
        <f t="array" ref="R83">int(int(int(int(int(int(int(int($Q83*XLOOKUP($N83,Settings[Role],Settings[f(TNC)]))/1000)
*XLOOKUP($N83,Settings[Role],Settings[f(SPD)]))/1000)
*XLOOKUP($N83,Settings[Role],Settings[f(WD)]))/100)
*XLOOKUP($N83,Settings[Role],Settings[Trait]))/100)</f>
        <v>0</v>
      </c>
      <c r="S83" s="31">
        <f t="shared" si="1"/>
        <v>0</v>
      </c>
      <c r="T83" s="31">
        <f t="array" ref="T83">int(int(int($L83*XLOOKUP($N83,Settings[Role],Settings[f(HMP)])*XLOOKUP($N83,Settings[Role],Settings[f(DET)]))/100)/1000)</f>
        <v>0</v>
      </c>
      <c r="U83" s="31">
        <f t="array" ref="U83">int(int(int(int(int(int($T83*XLOOKUP($N83,Settings[Role],Settings[f(TNC)]))/1000)*XLOOKUP($N83,Settings[Role],Settings[f(WD)]))/100)*XLOOKUP($N83,Settings[Role],Settings[Trait]))/100)</f>
        <v>0</v>
      </c>
      <c r="V83" s="31"/>
      <c r="W83" s="31">
        <f t="array" ref="W83">int(if($V83&lt;&gt;"",XLOOKUP($N83,Settings[Role],Settings[HP])*$V83,""))</f>
        <v>0</v>
      </c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</row>
    <row r="84" ht="22.5" customHeight="1">
      <c r="A84" s="31" t="s">
        <v>1193</v>
      </c>
      <c r="B84" s="32" t="str">
        <f>IMAGE("https://lds-img.finalfantasyxiv.com/d/ccba8c0dd5fc79db6437cd65d4a23daf8393b1fb.png")</f>
        <v/>
      </c>
      <c r="C84" s="31">
        <v>80.0</v>
      </c>
      <c r="D84" s="31" t="s">
        <v>1199</v>
      </c>
      <c r="E84" s="31">
        <v>120.0</v>
      </c>
      <c r="F84" s="31"/>
      <c r="G84" s="31"/>
      <c r="H84" s="31">
        <v>15.0</v>
      </c>
      <c r="I84" s="31"/>
      <c r="J84" s="31"/>
      <c r="K84" s="31">
        <v>100.0</v>
      </c>
      <c r="L84" s="31"/>
      <c r="M84" s="31"/>
      <c r="N84" s="31" t="s">
        <v>1185</v>
      </c>
      <c r="O84" s="31">
        <f t="array" ref="O84">int(int(int($J84*XLOOKUP($N84,Settings[Role],Settings[f(HMP)])*XLOOKUP($N84,Settings[Role],Settings[f(DET)]))/100)/1000)</f>
        <v>0</v>
      </c>
      <c r="P84" s="31">
        <f t="array" ref="P84">int(int(int(int(int(int($O84*XLOOKUP($N84,Settings[Role],Settings[f(TNC)]))/1000)*XLOOKUP($N84,Settings[Role],Settings[f(WD)]))/100)*XLOOKUP($N84,Settings[Role],Settings[Trait]))/100)</f>
        <v>0</v>
      </c>
      <c r="Q84" s="31">
        <f t="array" ref="Q84">int(int(int($K84*XLOOKUP($N84,Settings[Role],Settings[f(HMP)])*XLOOKUP($N84,Settings[Role],Settings[f(DET)]))/100)/1000)</f>
        <v>2565</v>
      </c>
      <c r="R84" s="31">
        <f t="array" ref="R84">int(int(int(int(int(int(int(int($Q84*XLOOKUP($N84,Settings[Role],Settings[f(TNC)]))/1000)
*XLOOKUP($N84,Settings[Role],Settings[f(SPD)]))/1000)
*XLOOKUP($N84,Settings[Role],Settings[f(WD)]))/100)
*XLOOKUP($N84,Settings[Role],Settings[Trait]))/100)</f>
        <v>5102</v>
      </c>
      <c r="S84" s="31">
        <f t="shared" si="1"/>
        <v>25510</v>
      </c>
      <c r="T84" s="31">
        <f t="array" ref="T84">int(int(int($L84*XLOOKUP($N84,Settings[Role],Settings[f(HMP)])*XLOOKUP($N84,Settings[Role],Settings[f(DET)]))/100)/1000)</f>
        <v>0</v>
      </c>
      <c r="U84" s="31">
        <f t="array" ref="U84">int(int(int(int(int(int($T84*XLOOKUP($N84,Settings[Role],Settings[f(TNC)]))/1000)*XLOOKUP($N84,Settings[Role],Settings[f(WD)]))/100)*XLOOKUP($N84,Settings[Role],Settings[Trait]))/100)</f>
        <v>0</v>
      </c>
      <c r="V84" s="31"/>
      <c r="W84" s="31">
        <f t="array" ref="W84">int(if($V84&lt;&gt;"",XLOOKUP($N84,Settings[Role],Settings[HP])*$V84,""))</f>
        <v>0</v>
      </c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</row>
    <row r="85" ht="22.5" customHeight="1">
      <c r="A85" s="31" t="s">
        <v>1193</v>
      </c>
      <c r="B85" s="32" t="str">
        <f t="shared" ref="B85:B89" si="8">IMAGE("https://lds-img.finalfantasyxiv.com/d/778e3634d9ab8d9e60cf6dd43e5942d494d1c9e0.png")</f>
        <v/>
      </c>
      <c r="C85" s="31">
        <v>80.0</v>
      </c>
      <c r="D85" s="31" t="s">
        <v>1200</v>
      </c>
      <c r="E85" s="31">
        <v>120.0</v>
      </c>
      <c r="F85" s="31">
        <v>0.0</v>
      </c>
      <c r="G85" s="31"/>
      <c r="H85" s="31"/>
      <c r="I85" s="31"/>
      <c r="J85" s="31"/>
      <c r="K85" s="31"/>
      <c r="L85" s="31"/>
      <c r="M85" s="31">
        <v>30.0</v>
      </c>
      <c r="N85" s="31" t="s">
        <v>1185</v>
      </c>
      <c r="O85" s="31">
        <f t="array" ref="O85">int(int(int($J85*XLOOKUP($N85,Settings[Role],Settings[f(HMP)])*XLOOKUP($N85,Settings[Role],Settings[f(DET)]))/100)/1000)</f>
        <v>0</v>
      </c>
      <c r="P85" s="31">
        <f t="array" ref="P85">int(int(int(int(int(int($O85*XLOOKUP($N85,Settings[Role],Settings[f(TNC)]))/1000)*XLOOKUP($N85,Settings[Role],Settings[f(WD)]))/100)*XLOOKUP($N85,Settings[Role],Settings[Trait]))/100)</f>
        <v>0</v>
      </c>
      <c r="Q85" s="31">
        <f t="array" ref="Q85">int(int(int($K85*XLOOKUP($N85,Settings[Role],Settings[f(HMP)])*XLOOKUP($N85,Settings[Role],Settings[f(DET)]))/100)/1000)</f>
        <v>0</v>
      </c>
      <c r="R85" s="31">
        <f t="array" ref="R85">int(int(int(int(int(int(int(int($Q85*XLOOKUP($N85,Settings[Role],Settings[f(TNC)]))/1000)
*XLOOKUP($N85,Settings[Role],Settings[f(SPD)]))/1000)
*XLOOKUP($N85,Settings[Role],Settings[f(WD)]))/100)
*XLOOKUP($N85,Settings[Role],Settings[Trait]))/100)</f>
        <v>0</v>
      </c>
      <c r="S85" s="31">
        <f t="shared" si="1"/>
        <v>0</v>
      </c>
      <c r="T85" s="31">
        <f t="array" ref="T85">int(int(int($L85*XLOOKUP($N85,Settings[Role],Settings[f(HMP)])*XLOOKUP($N85,Settings[Role],Settings[f(DET)]))/100)/1000)</f>
        <v>0</v>
      </c>
      <c r="U85" s="31">
        <f t="array" ref="U85">int(int(int(int(int(int($T85*XLOOKUP($N85,Settings[Role],Settings[f(TNC)]))/1000)*XLOOKUP($N85,Settings[Role],Settings[f(WD)]))/100)*XLOOKUP($N85,Settings[Role],Settings[Trait]))/100)</f>
        <v>0</v>
      </c>
      <c r="V85" s="31">
        <f>0.05</f>
        <v>0.05</v>
      </c>
      <c r="W85" s="31">
        <f t="array" ref="W85">int(if($V85&lt;&gt;"",XLOOKUP($N85,Settings[Role],Settings[HP])*$V85,""))</f>
        <v>10372</v>
      </c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</row>
    <row r="86" ht="22.5" customHeight="1">
      <c r="A86" s="31" t="s">
        <v>1193</v>
      </c>
      <c r="B86" s="32" t="str">
        <f t="shared" si="8"/>
        <v/>
      </c>
      <c r="C86" s="31">
        <v>80.0</v>
      </c>
      <c r="D86" s="31" t="s">
        <v>1201</v>
      </c>
      <c r="E86" s="31">
        <v>120.0</v>
      </c>
      <c r="F86" s="31">
        <v>1.0</v>
      </c>
      <c r="G86" s="31"/>
      <c r="H86" s="31"/>
      <c r="I86" s="31"/>
      <c r="J86" s="31"/>
      <c r="K86" s="31"/>
      <c r="L86" s="31"/>
      <c r="M86" s="31">
        <v>30.0</v>
      </c>
      <c r="N86" s="31" t="s">
        <v>1185</v>
      </c>
      <c r="O86" s="31">
        <f t="array" ref="O86">int(int(int($J86*XLOOKUP($N86,Settings[Role],Settings[f(HMP)])*XLOOKUP($N86,Settings[Role],Settings[f(DET)]))/100)/1000)</f>
        <v>0</v>
      </c>
      <c r="P86" s="31">
        <f t="array" ref="P86">int(int(int(int(int(int($O86*XLOOKUP($N86,Settings[Role],Settings[f(TNC)]))/1000)*XLOOKUP($N86,Settings[Role],Settings[f(WD)]))/100)*XLOOKUP($N86,Settings[Role],Settings[Trait]))/100)</f>
        <v>0</v>
      </c>
      <c r="Q86" s="31">
        <f t="array" ref="Q86">int(int(int($K86*XLOOKUP($N86,Settings[Role],Settings[f(HMP)])*XLOOKUP($N86,Settings[Role],Settings[f(DET)]))/100)/1000)</f>
        <v>0</v>
      </c>
      <c r="R86" s="31">
        <f t="array" ref="R86">int(int(int(int(int(int(int(int($Q86*XLOOKUP($N86,Settings[Role],Settings[f(TNC)]))/1000)
*XLOOKUP($N86,Settings[Role],Settings[f(SPD)]))/1000)
*XLOOKUP($N86,Settings[Role],Settings[f(WD)]))/100)
*XLOOKUP($N86,Settings[Role],Settings[Trait]))/100)</f>
        <v>0</v>
      </c>
      <c r="S86" s="31">
        <f t="shared" si="1"/>
        <v>0</v>
      </c>
      <c r="T86" s="31">
        <f t="array" ref="T86">int(int(int($L86*XLOOKUP($N86,Settings[Role],Settings[f(HMP)])*XLOOKUP($N86,Settings[Role],Settings[f(DET)]))/100)/1000)</f>
        <v>0</v>
      </c>
      <c r="U86" s="31">
        <f t="array" ref="U86">int(int(int(int(int(int($T86*XLOOKUP($N86,Settings[Role],Settings[f(TNC)]))/1000)*XLOOKUP($N86,Settings[Role],Settings[f(WD)]))/100)*XLOOKUP($N86,Settings[Role],Settings[Trait]))/100)</f>
        <v>0</v>
      </c>
      <c r="V86" s="31">
        <f>0.06</f>
        <v>0.06</v>
      </c>
      <c r="W86" s="31">
        <f t="array" ref="W86">int(if($V86&lt;&gt;"",XLOOKUP($N86,Settings[Role],Settings[HP])*$V86,""))</f>
        <v>12446</v>
      </c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</row>
    <row r="87" ht="22.5" customHeight="1">
      <c r="A87" s="31" t="s">
        <v>1193</v>
      </c>
      <c r="B87" s="32" t="str">
        <f t="shared" si="8"/>
        <v/>
      </c>
      <c r="C87" s="31">
        <v>80.0</v>
      </c>
      <c r="D87" s="31" t="s">
        <v>1202</v>
      </c>
      <c r="E87" s="31">
        <v>120.0</v>
      </c>
      <c r="F87" s="31">
        <v>2.0</v>
      </c>
      <c r="G87" s="31"/>
      <c r="H87" s="31"/>
      <c r="I87" s="31"/>
      <c r="J87" s="31"/>
      <c r="K87" s="31"/>
      <c r="L87" s="31"/>
      <c r="M87" s="31">
        <v>30.0</v>
      </c>
      <c r="N87" s="31" t="s">
        <v>1185</v>
      </c>
      <c r="O87" s="31">
        <f t="array" ref="O87">int(int(int($J87*XLOOKUP($N87,Settings[Role],Settings[f(HMP)])*XLOOKUP($N87,Settings[Role],Settings[f(DET)]))/100)/1000)</f>
        <v>0</v>
      </c>
      <c r="P87" s="31">
        <f t="array" ref="P87">int(int(int(int(int(int($O87*XLOOKUP($N87,Settings[Role],Settings[f(TNC)]))/1000)*XLOOKUP($N87,Settings[Role],Settings[f(WD)]))/100)*XLOOKUP($N87,Settings[Role],Settings[Trait]))/100)</f>
        <v>0</v>
      </c>
      <c r="Q87" s="31">
        <f t="array" ref="Q87">int(int(int($K87*XLOOKUP($N87,Settings[Role],Settings[f(HMP)])*XLOOKUP($N87,Settings[Role],Settings[f(DET)]))/100)/1000)</f>
        <v>0</v>
      </c>
      <c r="R87" s="31">
        <f t="array" ref="R87">int(int(int(int(int(int(int(int($Q87*XLOOKUP($N87,Settings[Role],Settings[f(TNC)]))/1000)
*XLOOKUP($N87,Settings[Role],Settings[f(SPD)]))/1000)
*XLOOKUP($N87,Settings[Role],Settings[f(WD)]))/100)
*XLOOKUP($N87,Settings[Role],Settings[Trait]))/100)</f>
        <v>0</v>
      </c>
      <c r="S87" s="31">
        <f t="shared" si="1"/>
        <v>0</v>
      </c>
      <c r="T87" s="31">
        <f t="array" ref="T87">int(int(int($L87*XLOOKUP($N87,Settings[Role],Settings[f(HMP)])*XLOOKUP($N87,Settings[Role],Settings[f(DET)]))/100)/1000)</f>
        <v>0</v>
      </c>
      <c r="U87" s="31">
        <f t="array" ref="U87">int(int(int(int(int(int($T87*XLOOKUP($N87,Settings[Role],Settings[f(TNC)]))/1000)*XLOOKUP($N87,Settings[Role],Settings[f(WD)]))/100)*XLOOKUP($N87,Settings[Role],Settings[Trait]))/100)</f>
        <v>0</v>
      </c>
      <c r="V87" s="31">
        <f>0.07</f>
        <v>0.07</v>
      </c>
      <c r="W87" s="31">
        <f t="array" ref="W87">int(if($V87&lt;&gt;"",XLOOKUP($N87,Settings[Role],Settings[HP])*$V87,""))</f>
        <v>14521</v>
      </c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</row>
    <row r="88" ht="22.5" customHeight="1">
      <c r="A88" s="31" t="s">
        <v>1193</v>
      </c>
      <c r="B88" s="32" t="str">
        <f t="shared" si="8"/>
        <v/>
      </c>
      <c r="C88" s="31">
        <v>80.0</v>
      </c>
      <c r="D88" s="31" t="s">
        <v>1203</v>
      </c>
      <c r="E88" s="31">
        <v>120.0</v>
      </c>
      <c r="F88" s="31">
        <v>3.0</v>
      </c>
      <c r="G88" s="31"/>
      <c r="H88" s="31"/>
      <c r="I88" s="31"/>
      <c r="J88" s="31"/>
      <c r="K88" s="31"/>
      <c r="L88" s="31"/>
      <c r="M88" s="31">
        <v>30.0</v>
      </c>
      <c r="N88" s="31" t="s">
        <v>1185</v>
      </c>
      <c r="O88" s="31">
        <f t="array" ref="O88">int(int(int($J88*XLOOKUP($N88,Settings[Role],Settings[f(HMP)])*XLOOKUP($N88,Settings[Role],Settings[f(DET)]))/100)/1000)</f>
        <v>0</v>
      </c>
      <c r="P88" s="31">
        <f t="array" ref="P88">int(int(int(int(int(int($O88*XLOOKUP($N88,Settings[Role],Settings[f(TNC)]))/1000)*XLOOKUP($N88,Settings[Role],Settings[f(WD)]))/100)*XLOOKUP($N88,Settings[Role],Settings[Trait]))/100)</f>
        <v>0</v>
      </c>
      <c r="Q88" s="31">
        <f t="array" ref="Q88">int(int(int($K88*XLOOKUP($N88,Settings[Role],Settings[f(HMP)])*XLOOKUP($N88,Settings[Role],Settings[f(DET)]))/100)/1000)</f>
        <v>0</v>
      </c>
      <c r="R88" s="31">
        <f t="array" ref="R88">int(int(int(int(int(int(int(int($Q88*XLOOKUP($N88,Settings[Role],Settings[f(TNC)]))/1000)
*XLOOKUP($N88,Settings[Role],Settings[f(SPD)]))/1000)
*XLOOKUP($N88,Settings[Role],Settings[f(WD)]))/100)
*XLOOKUP($N88,Settings[Role],Settings[Trait]))/100)</f>
        <v>0</v>
      </c>
      <c r="S88" s="31">
        <f t="shared" si="1"/>
        <v>0</v>
      </c>
      <c r="T88" s="31">
        <f t="array" ref="T88">int(int(int($L88*XLOOKUP($N88,Settings[Role],Settings[f(HMP)])*XLOOKUP($N88,Settings[Role],Settings[f(DET)]))/100)/1000)</f>
        <v>0</v>
      </c>
      <c r="U88" s="31">
        <f t="array" ref="U88">int(int(int(int(int(int($T88*XLOOKUP($N88,Settings[Role],Settings[f(TNC)]))/1000)*XLOOKUP($N88,Settings[Role],Settings[f(WD)]))/100)*XLOOKUP($N88,Settings[Role],Settings[Trait]))/100)</f>
        <v>0</v>
      </c>
      <c r="V88" s="31">
        <f>0.08</f>
        <v>0.08</v>
      </c>
      <c r="W88" s="31">
        <f t="array" ref="W88">int(if($V88&lt;&gt;"",XLOOKUP($N88,Settings[Role],Settings[HP])*$V88,""))</f>
        <v>16595</v>
      </c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</row>
    <row r="89" ht="22.5" customHeight="1">
      <c r="A89" s="31" t="s">
        <v>1193</v>
      </c>
      <c r="B89" s="32" t="str">
        <f t="shared" si="8"/>
        <v/>
      </c>
      <c r="C89" s="31">
        <v>80.0</v>
      </c>
      <c r="D89" s="31" t="s">
        <v>1204</v>
      </c>
      <c r="E89" s="31">
        <v>120.0</v>
      </c>
      <c r="F89" s="31">
        <v>4.0</v>
      </c>
      <c r="G89" s="31"/>
      <c r="H89" s="31"/>
      <c r="I89" s="31"/>
      <c r="J89" s="31"/>
      <c r="K89" s="31"/>
      <c r="L89" s="31"/>
      <c r="M89" s="31">
        <v>30.0</v>
      </c>
      <c r="N89" s="31" t="s">
        <v>1185</v>
      </c>
      <c r="O89" s="31">
        <f t="array" ref="O89">int(int(int($J89*XLOOKUP($N89,Settings[Role],Settings[f(HMP)])*XLOOKUP($N89,Settings[Role],Settings[f(DET)]))/100)/1000)</f>
        <v>0</v>
      </c>
      <c r="P89" s="31">
        <f t="array" ref="P89">int(int(int(int(int(int($O89*XLOOKUP($N89,Settings[Role],Settings[f(TNC)]))/1000)*XLOOKUP($N89,Settings[Role],Settings[f(WD)]))/100)*XLOOKUP($N89,Settings[Role],Settings[Trait]))/100)</f>
        <v>0</v>
      </c>
      <c r="Q89" s="31">
        <f t="array" ref="Q89">int(int(int($K89*XLOOKUP($N89,Settings[Role],Settings[f(HMP)])*XLOOKUP($N89,Settings[Role],Settings[f(DET)]))/100)/1000)</f>
        <v>0</v>
      </c>
      <c r="R89" s="31">
        <f t="array" ref="R89">int(int(int(int(int(int(int(int($Q89*XLOOKUP($N89,Settings[Role],Settings[f(TNC)]))/1000)
*XLOOKUP($N89,Settings[Role],Settings[f(SPD)]))/1000)
*XLOOKUP($N89,Settings[Role],Settings[f(WD)]))/100)
*XLOOKUP($N89,Settings[Role],Settings[Trait]))/100)</f>
        <v>0</v>
      </c>
      <c r="S89" s="31">
        <f t="shared" si="1"/>
        <v>0</v>
      </c>
      <c r="T89" s="31">
        <f t="array" ref="T89">int(int(int($L89*XLOOKUP($N89,Settings[Role],Settings[f(HMP)])*XLOOKUP($N89,Settings[Role],Settings[f(DET)]))/100)/1000)</f>
        <v>0</v>
      </c>
      <c r="U89" s="31">
        <f t="array" ref="U89">int(int(int(int(int(int($T89*XLOOKUP($N89,Settings[Role],Settings[f(TNC)]))/1000)*XLOOKUP($N89,Settings[Role],Settings[f(WD)]))/100)*XLOOKUP($N89,Settings[Role],Settings[Trait]))/100)</f>
        <v>0</v>
      </c>
      <c r="V89" s="31">
        <f>0.1</f>
        <v>0.1</v>
      </c>
      <c r="W89" s="31">
        <f t="array" ref="W89">int(if($V89&lt;&gt;"",XLOOKUP($N89,Settings[Role],Settings[HP])*$V89,""))</f>
        <v>20744</v>
      </c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</row>
    <row r="90" ht="22.5" customHeight="1">
      <c r="A90" s="31" t="s">
        <v>1205</v>
      </c>
      <c r="B90" s="32" t="str">
        <f>IMAGE("https://lds-img.finalfantasyxiv.com/d/b45e688d81b5607246600f904aac008364db0d1e.png")</f>
        <v/>
      </c>
      <c r="C90" s="31">
        <v>98.0</v>
      </c>
      <c r="D90" s="31" t="s">
        <v>1206</v>
      </c>
      <c r="E90" s="31">
        <v>90.0</v>
      </c>
      <c r="F90" s="31"/>
      <c r="G90" s="31">
        <v>0.9</v>
      </c>
      <c r="H90" s="31">
        <v>15.0</v>
      </c>
      <c r="I90" s="31"/>
      <c r="J90" s="31"/>
      <c r="K90" s="31"/>
      <c r="L90" s="31"/>
      <c r="M90" s="31"/>
      <c r="N90" s="31" t="s">
        <v>1185</v>
      </c>
      <c r="O90" s="31">
        <f t="array" ref="O90">int(int(int($J90*XLOOKUP($N90,Settings[Role],Settings[f(HMP)])*XLOOKUP($N90,Settings[Role],Settings[f(DET)]))/100)/1000)</f>
        <v>0</v>
      </c>
      <c r="P90" s="31">
        <f t="array" ref="P90">int(int(int(int(int(int($O90*XLOOKUP($N90,Settings[Role],Settings[f(TNC)]))/1000)*XLOOKUP($N90,Settings[Role],Settings[f(WD)]))/100)*XLOOKUP($N90,Settings[Role],Settings[Trait]))/100)</f>
        <v>0</v>
      </c>
      <c r="Q90" s="31">
        <f t="array" ref="Q90">int(int(int($K90*XLOOKUP($N90,Settings[Role],Settings[f(HMP)])*XLOOKUP($N90,Settings[Role],Settings[f(DET)]))/100)/1000)</f>
        <v>0</v>
      </c>
      <c r="R90" s="31">
        <f t="array" ref="R90">int(int(int(int(int(int(int(int($Q90*XLOOKUP($N90,Settings[Role],Settings[f(TNC)]))/1000)
*XLOOKUP($N90,Settings[Role],Settings[f(SPD)]))/1000)
*XLOOKUP($N90,Settings[Role],Settings[f(WD)]))/100)
*XLOOKUP($N90,Settings[Role],Settings[Trait]))/100)</f>
        <v>0</v>
      </c>
      <c r="S90" s="31">
        <f t="shared" si="1"/>
        <v>0</v>
      </c>
      <c r="T90" s="31">
        <f t="array" ref="T90">int(int(int($L90*XLOOKUP($N90,Settings[Role],Settings[f(HMP)])*XLOOKUP($N90,Settings[Role],Settings[f(DET)]))/100)/1000)</f>
        <v>0</v>
      </c>
      <c r="U90" s="31">
        <f t="array" ref="U90">int(int(int(int(int(int($T90*XLOOKUP($N90,Settings[Role],Settings[f(TNC)]))/1000)*XLOOKUP($N90,Settings[Role],Settings[f(WD)]))/100)*XLOOKUP($N90,Settings[Role],Settings[Trait]))/100)</f>
        <v>0</v>
      </c>
      <c r="V90" s="31"/>
      <c r="W90" s="31">
        <f t="array" ref="W90">int(if($V90&lt;&gt;"",XLOOKUP($N90,Settings[Role],Settings[HP])*$V90,""))</f>
        <v>0</v>
      </c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</row>
    <row r="91" ht="22.5" customHeight="1">
      <c r="A91" s="31" t="s">
        <v>1207</v>
      </c>
      <c r="B91" s="32" t="str">
        <f>IMAGE("https://lds-img.finalfantasyxiv.com/d/5c95999b6491dcc5714cd7f926b03fc56b5c88dc.png")</f>
        <v/>
      </c>
      <c r="C91" s="31">
        <v>86.0</v>
      </c>
      <c r="D91" s="31" t="s">
        <v>1208</v>
      </c>
      <c r="E91" s="31">
        <v>120.0</v>
      </c>
      <c r="F91" s="31"/>
      <c r="G91" s="31">
        <v>0.9</v>
      </c>
      <c r="H91" s="31">
        <v>10.0</v>
      </c>
      <c r="I91" s="31">
        <v>1.05</v>
      </c>
      <c r="J91" s="31"/>
      <c r="K91" s="31"/>
      <c r="L91" s="31"/>
      <c r="M91" s="31"/>
      <c r="N91" s="31" t="s">
        <v>1185</v>
      </c>
      <c r="O91" s="31">
        <f t="array" ref="O91">int(int(int($J91*XLOOKUP($N91,Settings[Role],Settings[f(HMP)])*XLOOKUP($N91,Settings[Role],Settings[f(DET)]))/100)/1000)</f>
        <v>0</v>
      </c>
      <c r="P91" s="31">
        <f t="array" ref="P91">int(int(int(int(int(int($O91*XLOOKUP($N91,Settings[Role],Settings[f(TNC)]))/1000)*XLOOKUP($N91,Settings[Role],Settings[f(WD)]))/100)*XLOOKUP($N91,Settings[Role],Settings[Trait]))/100)</f>
        <v>0</v>
      </c>
      <c r="Q91" s="31">
        <f t="array" ref="Q91">int(int(int($K91*XLOOKUP($N91,Settings[Role],Settings[f(HMP)])*XLOOKUP($N91,Settings[Role],Settings[f(DET)]))/100)/1000)</f>
        <v>0</v>
      </c>
      <c r="R91" s="31">
        <f t="array" ref="R91">int(int(int(int(int(int(int(int($Q91*XLOOKUP($N91,Settings[Role],Settings[f(TNC)]))/1000)
*XLOOKUP($N91,Settings[Role],Settings[f(SPD)]))/1000)
*XLOOKUP($N91,Settings[Role],Settings[f(WD)]))/100)
*XLOOKUP($N91,Settings[Role],Settings[Trait]))/100)</f>
        <v>0</v>
      </c>
      <c r="S91" s="31">
        <f t="shared" si="1"/>
        <v>0</v>
      </c>
      <c r="T91" s="31">
        <f t="array" ref="T91">int(int(int($L91*XLOOKUP($N91,Settings[Role],Settings[f(HMP)])*XLOOKUP($N91,Settings[Role],Settings[f(DET)]))/100)/1000)</f>
        <v>0</v>
      </c>
      <c r="U91" s="31">
        <f t="array" ref="U91">int(int(int(int(int(int($T91*XLOOKUP($N91,Settings[Role],Settings[f(TNC)]))/1000)*XLOOKUP($N91,Settings[Role],Settings[f(WD)]))/100)*XLOOKUP($N91,Settings[Role],Settings[Trait]))/100)</f>
        <v>0</v>
      </c>
      <c r="V91" s="31"/>
      <c r="W91" s="31">
        <f t="array" ref="W91">int(if($V91&lt;&gt;"",XLOOKUP($N91,Settings[Role],Settings[HP])*$V91,""))</f>
        <v>0</v>
      </c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</row>
    <row r="92" ht="22.5" customHeight="1">
      <c r="A92" s="31" t="s">
        <v>1209</v>
      </c>
      <c r="B92" s="32" t="str">
        <f>IMAGE("https://lds-img.finalfantasyxiv.com/d/ed684b430814130c6917a00018cd5e400430e210.png")</f>
        <v/>
      </c>
      <c r="C92" s="31">
        <v>88.0</v>
      </c>
      <c r="D92" s="31" t="s">
        <v>1210</v>
      </c>
      <c r="E92" s="31">
        <v>90.0</v>
      </c>
      <c r="F92" s="31"/>
      <c r="G92" s="31"/>
      <c r="H92" s="31"/>
      <c r="I92" s="31"/>
      <c r="J92" s="31"/>
      <c r="K92" s="31"/>
      <c r="L92" s="31"/>
      <c r="M92" s="31">
        <v>10.0</v>
      </c>
      <c r="N92" s="31" t="s">
        <v>1185</v>
      </c>
      <c r="O92" s="31">
        <f t="array" ref="O92">int(int(int($J92*XLOOKUP($N92,Settings[Role],Settings[f(HMP)])*XLOOKUP($N92,Settings[Role],Settings[f(DET)]))/100)/1000)</f>
        <v>0</v>
      </c>
      <c r="P92" s="31">
        <f t="array" ref="P92">int(int(int(int(int(int($O92*XLOOKUP($N92,Settings[Role],Settings[f(TNC)]))/1000)*XLOOKUP($N92,Settings[Role],Settings[f(WD)]))/100)*XLOOKUP($N92,Settings[Role],Settings[Trait]))/100)</f>
        <v>0</v>
      </c>
      <c r="Q92" s="31">
        <f t="array" ref="Q92">int(int(int($K92*XLOOKUP($N92,Settings[Role],Settings[f(HMP)])*XLOOKUP($N92,Settings[Role],Settings[f(DET)]))/100)/1000)</f>
        <v>0</v>
      </c>
      <c r="R92" s="31">
        <f t="array" ref="R92">int(int(int(int(int(int(int(int($Q92*XLOOKUP($N92,Settings[Role],Settings[f(TNC)]))/1000)
*XLOOKUP($N92,Settings[Role],Settings[f(SPD)]))/1000)
*XLOOKUP($N92,Settings[Role],Settings[f(WD)]))/100)
*XLOOKUP($N92,Settings[Role],Settings[Trait]))/100)</f>
        <v>0</v>
      </c>
      <c r="S92" s="31">
        <f t="shared" si="1"/>
        <v>0</v>
      </c>
      <c r="T92" s="31">
        <f t="array" ref="T92">int(int(int($L92*XLOOKUP($N92,Settings[Role],Settings[f(HMP)])*XLOOKUP($N92,Settings[Role],Settings[f(DET)]))/100)/1000)</f>
        <v>0</v>
      </c>
      <c r="U92" s="31">
        <f t="array" ref="U92">int(int(int(int(int(int($T92*XLOOKUP($N92,Settings[Role],Settings[f(TNC)]))/1000)*XLOOKUP($N92,Settings[Role],Settings[f(WD)]))/100)*XLOOKUP($N92,Settings[Role],Settings[Trait]))/100)</f>
        <v>0</v>
      </c>
      <c r="V92" s="31">
        <v>0.1</v>
      </c>
      <c r="W92" s="31">
        <f t="array" ref="W92">int(if($V92&lt;&gt;"",XLOOKUP($N92,Settings[Role],Settings[HP])*$V92,""))</f>
        <v>20744</v>
      </c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2" width="15.0"/>
    <col customWidth="1" min="3" max="3" width="14.88"/>
    <col customWidth="1" min="4" max="4" width="17.75"/>
    <col customWidth="1" min="5" max="7" width="15.0"/>
    <col collapsed="1" customWidth="1" min="8" max="8" width="18.75"/>
    <col customWidth="1" hidden="1" min="9" max="18" width="15.0" outlineLevel="1"/>
    <col customWidth="1" min="19" max="33" width="15.0"/>
  </cols>
  <sheetData>
    <row r="1" ht="22.5" customHeight="1">
      <c r="A1" s="33" t="s">
        <v>1095</v>
      </c>
      <c r="B1" s="33" t="s">
        <v>1211</v>
      </c>
      <c r="C1" s="34" t="s">
        <v>1212</v>
      </c>
      <c r="D1" s="34" t="s">
        <v>1213</v>
      </c>
      <c r="E1" s="34" t="s">
        <v>1214</v>
      </c>
      <c r="F1" s="34" t="s">
        <v>1215</v>
      </c>
      <c r="G1" s="34" t="s">
        <v>1216</v>
      </c>
      <c r="H1" s="34" t="s">
        <v>1217</v>
      </c>
      <c r="I1" s="33" t="s">
        <v>1218</v>
      </c>
      <c r="J1" s="33" t="s">
        <v>1219</v>
      </c>
      <c r="K1" s="33" t="s">
        <v>1220</v>
      </c>
      <c r="L1" s="33" t="s">
        <v>1221</v>
      </c>
      <c r="M1" s="33" t="s">
        <v>1222</v>
      </c>
      <c r="N1" s="33" t="s">
        <v>1223</v>
      </c>
      <c r="O1" s="33" t="s">
        <v>1224</v>
      </c>
      <c r="P1" s="33" t="s">
        <v>1225</v>
      </c>
      <c r="Q1" s="33" t="s">
        <v>1226</v>
      </c>
      <c r="R1" s="35" t="s">
        <v>1227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 ht="22.5" customHeight="1">
      <c r="A2" s="36" t="s">
        <v>1120</v>
      </c>
      <c r="B2" s="37">
        <v>100.0</v>
      </c>
      <c r="C2" s="38">
        <v>186816.0</v>
      </c>
      <c r="D2" s="38">
        <v>6317.0</v>
      </c>
      <c r="E2" s="38">
        <v>3141.0</v>
      </c>
      <c r="F2" s="38">
        <v>1229.0</v>
      </c>
      <c r="G2" s="38">
        <v>420.0</v>
      </c>
      <c r="H2" s="38">
        <v>154.0</v>
      </c>
      <c r="I2" s="39">
        <f t="array" ref="I2">XLOOKUP($B2,Modifiers[Level],Modifiers[Lv.MAIN])</f>
        <v>440</v>
      </c>
      <c r="J2" s="39">
        <f t="array" ref="J2">XLOOKUP($B2,Modifiers[Level],Modifiers[Lv.SUB])</f>
        <v>420</v>
      </c>
      <c r="K2" s="39">
        <f t="array" ref="K2">XLOOKUP($B2,Modifiers[Level],Modifiers[Lv.DIV])</f>
        <v>2780</v>
      </c>
      <c r="L2" s="39">
        <f t="array" ref="L2">if($A2="Healer",XLOOKUP($B2,Modifiers[Level],Modifiers[Lv.Attribute]),100)</f>
        <v>115</v>
      </c>
      <c r="M2" s="39">
        <f>if($A2="healer",130,1)</f>
        <v>130</v>
      </c>
      <c r="N2" s="39">
        <f t="shared" ref="N2:N4" si="1">INT(100*(D2-I2)/268)+100</f>
        <v>2292</v>
      </c>
      <c r="O2" s="39">
        <f t="shared" ref="O2:O4" si="2">int(140*(E2-I2)/K2+1000)</f>
        <v>1136</v>
      </c>
      <c r="P2" s="39">
        <f t="shared" ref="P2:P4" si="3">INT(110*(G2-J2)/K2+1000)</f>
        <v>1000</v>
      </c>
      <c r="Q2" s="39">
        <f t="shared" ref="Q2:Q4" si="4">INT(I2*L2/1000+H2)</f>
        <v>204</v>
      </c>
      <c r="R2" s="39">
        <f t="shared" ref="R2:R4" si="5">int(130*(F2-J2)/K2+1000)</f>
        <v>1037</v>
      </c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ht="22.5" customHeight="1">
      <c r="A3" s="36" t="s">
        <v>1106</v>
      </c>
      <c r="B3" s="37">
        <v>100.0</v>
      </c>
      <c r="C3" s="38">
        <v>296194.0</v>
      </c>
      <c r="D3" s="38">
        <v>6248.0</v>
      </c>
      <c r="E3" s="38">
        <v>2410.0</v>
      </c>
      <c r="F3" s="38">
        <v>420.0</v>
      </c>
      <c r="G3" s="38">
        <v>1340.0</v>
      </c>
      <c r="H3" s="38">
        <v>154.0</v>
      </c>
      <c r="I3" s="39">
        <f t="array" ref="I3">XLOOKUP($B3,Modifiers[Level],Modifiers[Lv.MAIN])</f>
        <v>440</v>
      </c>
      <c r="J3" s="39">
        <f t="array" ref="J3">XLOOKUP($B3,Modifiers[Level],Modifiers[Lv.SUB])</f>
        <v>420</v>
      </c>
      <c r="K3" s="39">
        <f t="array" ref="K3">XLOOKUP($B3,Modifiers[Level],Modifiers[Lv.DIV])</f>
        <v>2780</v>
      </c>
      <c r="L3" s="39">
        <f t="array" ref="L3">if($A3="Healer",XLOOKUP($B3,Modifiers[Level],Modifiers[Lv.Attribute]),100)</f>
        <v>100</v>
      </c>
      <c r="M3" s="36">
        <v>100.0</v>
      </c>
      <c r="N3" s="39">
        <f t="shared" si="1"/>
        <v>2267</v>
      </c>
      <c r="O3" s="39">
        <f t="shared" si="2"/>
        <v>1099</v>
      </c>
      <c r="P3" s="39">
        <f t="shared" si="3"/>
        <v>1036</v>
      </c>
      <c r="Q3" s="39">
        <f t="shared" si="4"/>
        <v>198</v>
      </c>
      <c r="R3" s="39">
        <f t="shared" si="5"/>
        <v>1000</v>
      </c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ht="22.5" customHeight="1">
      <c r="A4" s="36" t="s">
        <v>1185</v>
      </c>
      <c r="B4" s="37">
        <v>100.0</v>
      </c>
      <c r="C4" s="38">
        <v>207443.0</v>
      </c>
      <c r="D4" s="38">
        <v>6319.0</v>
      </c>
      <c r="E4" s="38">
        <v>2803.0</v>
      </c>
      <c r="F4" s="38">
        <v>562.0</v>
      </c>
      <c r="G4" s="38">
        <v>400.0</v>
      </c>
      <c r="H4" s="38">
        <v>154.0</v>
      </c>
      <c r="I4" s="39">
        <f t="array" ref="I4">XLOOKUP($B4,Modifiers[Level],Modifiers[Lv.MAIN])</f>
        <v>440</v>
      </c>
      <c r="J4" s="39">
        <f t="array" ref="J4">XLOOKUP($B4,Modifiers[Level],Modifiers[Lv.SUB])</f>
        <v>420</v>
      </c>
      <c r="K4" s="39">
        <f t="array" ref="K4">XLOOKUP($B4,Modifiers[Level],Modifiers[Lv.DIV])</f>
        <v>2780</v>
      </c>
      <c r="L4" s="39">
        <f t="array" ref="L4">if($A4="Healer",XLOOKUP($B4,Modifiers[Level],Modifiers[Lv.Attribute]),100)</f>
        <v>100</v>
      </c>
      <c r="M4" s="36">
        <v>100.0</v>
      </c>
      <c r="N4" s="39">
        <f t="shared" si="1"/>
        <v>2293</v>
      </c>
      <c r="O4" s="39">
        <f t="shared" si="2"/>
        <v>1119</v>
      </c>
      <c r="P4" s="39">
        <f t="shared" si="3"/>
        <v>999</v>
      </c>
      <c r="Q4" s="39">
        <f t="shared" si="4"/>
        <v>198</v>
      </c>
      <c r="R4" s="39">
        <f t="shared" si="5"/>
        <v>1006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4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ht="22.5" customHeight="1">
      <c r="A7" s="41" t="s">
        <v>1211</v>
      </c>
      <c r="B7" s="41" t="s">
        <v>1218</v>
      </c>
      <c r="C7" s="41" t="s">
        <v>1219</v>
      </c>
      <c r="D7" s="41" t="s">
        <v>1220</v>
      </c>
      <c r="E7" s="41" t="s">
        <v>1221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ht="22.5" customHeight="1">
      <c r="A8" s="42">
        <v>70.0</v>
      </c>
      <c r="B8" s="42">
        <v>292.0</v>
      </c>
      <c r="C8" s="42">
        <v>364.0</v>
      </c>
      <c r="D8" s="42">
        <v>900.0</v>
      </c>
      <c r="E8" s="42">
        <v>115.0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28"/>
      <c r="T8" s="28"/>
      <c r="U8" s="28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ht="22.5" customHeight="1">
      <c r="A9" s="42">
        <v>80.0</v>
      </c>
      <c r="B9" s="42">
        <v>340.0</v>
      </c>
      <c r="C9" s="42">
        <v>380.0</v>
      </c>
      <c r="D9" s="42">
        <v>1300.0</v>
      </c>
      <c r="E9" s="42">
        <v>115.0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28"/>
      <c r="T9" s="28"/>
      <c r="U9" s="28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ht="22.5" customHeight="1">
      <c r="A10" s="42">
        <v>90.0</v>
      </c>
      <c r="B10" s="42">
        <v>390.0</v>
      </c>
      <c r="C10" s="42">
        <v>400.0</v>
      </c>
      <c r="D10" s="42">
        <v>1900.0</v>
      </c>
      <c r="E10" s="42">
        <v>115.0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ht="22.5" customHeight="1">
      <c r="A11" s="42">
        <v>100.0</v>
      </c>
      <c r="B11" s="42">
        <v>440.0</v>
      </c>
      <c r="C11" s="42">
        <v>420.0</v>
      </c>
      <c r="D11" s="42">
        <v>2780.0</v>
      </c>
      <c r="E11" s="42">
        <v>115.0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>
      <c r="A14" s="10"/>
      <c r="B14" s="43" t="s">
        <v>1228</v>
      </c>
      <c r="C14" s="17"/>
      <c r="D14" s="17"/>
      <c r="E14" s="17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ht="22.5" customHeight="1">
      <c r="A15" s="41" t="s">
        <v>1229</v>
      </c>
      <c r="B15" s="41" t="s">
        <v>1230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ht="22.5" customHeight="1">
      <c r="A16" s="42" t="s">
        <v>7</v>
      </c>
      <c r="B16" s="42" t="s">
        <v>1231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ht="22.5" customHeight="1">
      <c r="A17" s="42" t="s">
        <v>11</v>
      </c>
      <c r="B17" s="42" t="s">
        <v>1232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ht="22.5" customHeight="1">
      <c r="A18" s="42" t="s">
        <v>1233</v>
      </c>
      <c r="B18" s="42" t="s">
        <v>1234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ht="22.5" customHeight="1">
      <c r="A19" s="42" t="s">
        <v>1096</v>
      </c>
      <c r="B19" s="42" t="s">
        <v>1235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ht="22.5" customHeight="1">
      <c r="A20" s="42" t="s">
        <v>1223</v>
      </c>
      <c r="B20" s="42" t="s">
        <v>1236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ht="22.5" customHeight="1">
      <c r="A21" s="42" t="s">
        <v>1224</v>
      </c>
      <c r="B21" s="42" t="s">
        <v>1237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ht="22.5" customHeight="1">
      <c r="A22" s="42" t="s">
        <v>1225</v>
      </c>
      <c r="B22" s="42" t="s">
        <v>1238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ht="22.5" customHeight="1">
      <c r="A23" s="42" t="s">
        <v>1226</v>
      </c>
      <c r="B23" s="42" t="s">
        <v>1239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ht="22.5" customHeight="1">
      <c r="A24" s="42" t="s">
        <v>1227</v>
      </c>
      <c r="B24" s="42" t="s">
        <v>1240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ht="22.5" customHeight="1">
      <c r="A25" s="42" t="s">
        <v>1241</v>
      </c>
      <c r="B25" s="42" t="s">
        <v>1242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</sheetData>
  <dataValidations>
    <dataValidation type="custom" allowBlank="1" showDropDown="1" sqref="C2:H4">
      <formula1>AND(ISNUMBER(C2),(NOT(OR(NOT(ISERROR(DATEVALUE(C2))), AND(ISNUMBER(C2), LEFT(CELL("format", C2))="D")))))</formula1>
    </dataValidation>
    <dataValidation type="decimal" operator="greaterThanOrEqual" allowBlank="1" showDropDown="1" showErrorMessage="1" sqref="S8:U9">
      <formula1>0.0</formula1>
    </dataValidation>
    <dataValidation type="list" allowBlank="1" showErrorMessage="1" sqref="B2:B4">
      <formula1>"70,80,90,100,110"</formula1>
    </dataValidation>
  </dataValidations>
  <drawing r:id="rId1"/>
  <tableParts count="4">
    <tablePart r:id="rId6"/>
    <tablePart r:id="rId7"/>
    <tablePart r:id="rId8"/>
    <tablePart r:id="rId9"/>
  </tableParts>
</worksheet>
</file>